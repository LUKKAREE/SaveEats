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ภาพรวมโครงการ" sheetId="1" state="visible" r:id="rId3"/>
    <sheet name="ทีมงานและบทบาท" sheetId="2" state="visible" r:id="rId4"/>
    <sheet name="แผน Sprint" sheetId="3" state="visible" r:id="rId5"/>
    <sheet name="กำหนดส่งงานรายวิชา" sheetId="4" state="visible" r:id="rId6"/>
    <sheet name="Epic" sheetId="5" state="visible" r:id="rId7"/>
    <sheet name="ทะเบียนความเสี่ยง" sheetId="6" state="visible" r:id="rId8"/>
    <sheet name="Definition of Done" sheetId="7" state="visible" r:id="rId9"/>
    <sheet name="ข้อตกลงการทำงาน" sheetId="8" state="visible" r:id="rId10"/>
    <sheet name="รายการงานทั้งหมด" sheetId="9" state="visible" r:id="rId11"/>
  </sheets>
  <definedNames>
    <definedName function="false" hidden="true" localSheetId="8" name="_xlnm._FilterDatabase" vbProcedure="false">รายการงานทั้งหมด!$A$4:$I$121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<sst xmlns="http://schemas.openxmlformats.org/spreadsheetml/2006/main" count="1279" uniqueCount="592">
  <si>
    <t xml:space="preserve">แผนบริหารโครงงาน SaveEats</t>
  </si>
  <si>
    <t xml:space="preserve">รายวิชา DGT01 1130 โครงงานวิศวกรรมซอฟต์แวร์ · ภาคการศึกษาที่ 1/2569</t>
  </si>
  <si>
    <t xml:space="preserve">ชื่อโครงงาน</t>
  </si>
  <si>
    <t xml:space="preserve">SaveEats — แอปพลิเคชันลดขยะอาหารเหลือจากร้านค้า</t>
  </si>
  <si>
    <t xml:space="preserve">กลุ่มที่</t>
  </si>
  <si>
    <t xml:space="preserve">11</t>
  </si>
  <si>
    <t xml:space="preserve">ระยะเวลาโครงการ</t>
  </si>
  <si>
    <t xml:space="preserve">9 กรกฎาคม 2569 ถึง 17 ตุลาคม 2569 (15 สัปดาห์)</t>
  </si>
  <si>
    <t xml:space="preserve">จำนวน Sprint</t>
  </si>
  <si>
    <t xml:space="preserve">8 Sprint</t>
  </si>
  <si>
    <t xml:space="preserve">จำนวนสมาชิก</t>
  </si>
  <si>
    <t xml:space="preserve">6 คน</t>
  </si>
  <si>
    <t xml:space="preserve">เครื่องมือบริหารโครงการ</t>
  </si>
  <si>
    <t xml:space="preserve">Jira Software (Scrum แบบ Company-managed)</t>
  </si>
  <si>
    <t xml:space="preserve">สถาปัตยกรรมระบบ</t>
  </si>
  <si>
    <t xml:space="preserve">แอปมือถือ (React Native / Expo) · เว็บผู้ดูแล (React + Vite) · API (Node.js + Express) · ฐานข้อมูล (MySQL)</t>
  </si>
  <si>
    <t xml:space="preserve">การติดตั้งใช้งานจริง</t>
  </si>
  <si>
    <t xml:space="preserve">เว็บผู้ดูแลบน Vercel → API บน Render → ฐานข้อมูลบน Aiven MySQL</t>
  </si>
  <si>
    <t xml:space="preserve">ที่เก็บซอร์สโค้ด</t>
  </si>
  <si>
    <t xml:space="preserve">GitLab (ต้นทางของการ deploy) และ GitHub (สำหรับ CI ด้วย GitHub Actions)</t>
  </si>
  <si>
    <t xml:space="preserve">จำนวนข้อกำหนดทั้งหมด</t>
  </si>
  <si>
    <t xml:space="preserve">98 ข้อ ใน 11 หมวด</t>
  </si>
  <si>
    <t xml:space="preserve">กรณีทดสอบการบูรณาการ (SIT)</t>
  </si>
  <si>
    <t xml:space="preserve">66 กรณี</t>
  </si>
  <si>
    <t xml:space="preserve">กรณีทดสอบการยอมรับ (UAT)</t>
  </si>
  <si>
    <t xml:space="preserve">28 กรณี</t>
  </si>
  <si>
    <t xml:space="preserve">ชุดทดสอบอัตโนมัติ</t>
  </si>
  <si>
    <t xml:space="preserve">40 ข้อ ผ่านทั้งหมด</t>
  </si>
  <si>
    <t xml:space="preserve">หน่วยวัดงาน</t>
  </si>
  <si>
    <t xml:space="preserve">1 Story Point ประมาณ 1 ชั่วโมงงานของสมาชิก 1 คน</t>
  </si>
  <si>
    <t xml:space="preserve">Capacity ปกติ</t>
  </si>
  <si>
    <t xml:space="preserve">6 คน x 12 ชั่วโมงต่อสัปดาห์ = 72 SP ต่อสัปดาห์</t>
  </si>
  <si>
    <t xml:space="preserve">ทีมงานและบทบาท</t>
  </si>
  <si>
    <t xml:space="preserve">ช่องพื้นหลังสีเหลืองต้องกรอกชื่อจริงของสมาชิกก่อนส่งอาจารย์</t>
  </si>
  <si>
    <t xml:space="preserve">ลำดับ</t>
  </si>
  <si>
    <t xml:space="preserve">ชื่อ-นามสกุล</t>
  </si>
  <si>
    <t xml:space="preserve">รหัสนักศึกษา</t>
  </si>
  <si>
    <t xml:space="preserve">บทบาทในทีม</t>
  </si>
  <si>
    <t xml:space="preserve">ความรับผิดชอบหลัก</t>
  </si>
  <si>
    <t xml:space="preserve">Project Manager / Scrum Master</t>
  </si>
  <si>
    <t xml:space="preserve">วางแผนและติดตามงานใน Jira · ประสานงานทีม · จัดประชุมและนำเสนอความก้าวหน้า</t>
  </si>
  <si>
    <t xml:space="preserve">Business Analyst</t>
  </si>
  <si>
    <t xml:space="preserve">เก็บความต้องการจากผู้ใช้ · จัดทำ RTM และ SRS · ตรวจสอบความครบถ้วนของขอบเขต</t>
  </si>
  <si>
    <t xml:space="preserve">UX/UI Designer</t>
  </si>
  <si>
    <t xml:space="preserve">ออกแบบ Wireframe และระบบสี · จัดทำเอกสาร UI · ทดสอบความใช้ง่าย</t>
  </si>
  <si>
    <t xml:space="preserve">Backend Developer</t>
  </si>
  <si>
    <t xml:space="preserve">พัฒนา API และฐานข้อมูล · ดูแลการ deploy บน Render และ Aiven</t>
  </si>
  <si>
    <t xml:space="preserve">Frontend / Mobile Developer</t>
  </si>
  <si>
    <t xml:space="preserve">พัฒนาแอปมือถือและเว็บผู้ดูแล · จัดทำ build APK</t>
  </si>
  <si>
    <t xml:space="preserve">QA Engineer</t>
  </si>
  <si>
    <t xml:space="preserve">จัดทำและดำเนินการ SIT และ UAT · ดูแล CI Pipeline และชุดทดสอบอัตโนมัติ</t>
  </si>
  <si>
    <t xml:space="preserve">หมายเหตุ : สมาชิกทุกคนร่วมทดสอบระบบและร่วมจัดทำเอกสารฉบับสมบูรณ์</t>
  </si>
  <si>
    <t xml:space="preserve">แผน Sprint ตลอดโครงการ</t>
  </si>
  <si>
    <t xml:space="preserve">ทุก Sprint สิ้นสุดก่อนคาบเรียนวันพฤหัสบดี เพื่อให้คาบเรียนทำหน้าที่เป็น Sprint Review</t>
  </si>
  <si>
    <t xml:space="preserve">Sprint</t>
  </si>
  <si>
    <t xml:space="preserve">ชื่อ Sprint ใน Jira</t>
  </si>
  <si>
    <t xml:space="preserve">ช่วงเวลา</t>
  </si>
  <si>
    <t xml:space="preserve">เป้าหมายของ Sprint</t>
  </si>
  <si>
    <t xml:space="preserve">จำนวนงาน</t>
  </si>
  <si>
    <t xml:space="preserve">Story Point
(ประมาณการ)</t>
  </si>
  <si>
    <t xml:space="preserve">Capacity</t>
  </si>
  <si>
    <t xml:space="preserve">% การใช้ Capacity</t>
  </si>
  <si>
    <t xml:space="preserve">สถานะ</t>
  </si>
  <si>
    <t xml:space="preserve">Sprint 1 - เริ่มต้นโครงงาน</t>
  </si>
  <si>
    <t xml:space="preserve">9–15 ก.ค. 2569</t>
  </si>
  <si>
    <t xml:space="preserve">ตั้งทีม กำหนดหัวข้อโครงงาน ส่งแบบเสนอโครงงาน P01 และตั้งค่าโปรเจกต์ใน Jira</t>
  </si>
  <si>
    <t xml:space="preserve">Completed</t>
  </si>
  <si>
    <t xml:space="preserve">Sprint 2 - Req. Elicitation</t>
  </si>
  <si>
    <t xml:space="preserve">16–23 ก.ค. 2569</t>
  </si>
  <si>
    <t xml:space="preserve">เก็บความต้องการจากผู้ใช้จริงด้วยการสัมภาษณ์และแบบสอบถาม จัดทำ RTM</t>
  </si>
  <si>
    <t xml:space="preserve">Sprint 3 - Analysis &amp; SRS</t>
  </si>
  <si>
    <t xml:space="preserve">23 ก.ค. – 6 ส.ค. 2569</t>
  </si>
  <si>
    <t xml:space="preserve">จัดทำ Use Case, DFD, State, Sequence, Activity Diagram และเอกสาร SRS</t>
  </si>
  <si>
    <t xml:space="preserve">Sprint 4 - System Design</t>
  </si>
  <si>
    <t xml:space="preserve">6–20 ส.ค. 2569</t>
  </si>
  <si>
    <t xml:space="preserve">ออกแบบ ER และสถาปัตยกรรม จัดทำ Wireframe และวางโครงโปรเจกต์ทั้ง 3 ส่วน</t>
  </si>
  <si>
    <t xml:space="preserve">Sprint 5 - Core Feature I</t>
  </si>
  <si>
    <t xml:space="preserve">20–27 ส.ค. 2569</t>
  </si>
  <si>
    <t xml:space="preserve">พัฒนาการยืนยันตัวตน การจัดการร้านค้า ประกาศอาหาร และตั้ง CI Pipeline</t>
  </si>
  <si>
    <t xml:space="preserve">Sprint 6 - Core Feature II</t>
  </si>
  <si>
    <t xml:space="preserve">27 ส.ค. – 3 ก.ย. 2569</t>
  </si>
  <si>
    <t xml:space="preserve">พัฒนาการค้นหา แผนที่ การจองคิว QR และหน้าผู้ดูแลระบบ พร้อมจัดทำ SIT</t>
  </si>
  <si>
    <t xml:space="preserve">Sprint 7 - User Acceptance</t>
  </si>
  <si>
    <t xml:space="preserve">3–10 ก.ย. 2569</t>
  </si>
  <si>
    <t xml:space="preserve">ทดสอบการยอมรับกับผู้ใช้จริง และแก้ไขข้อบกพร่องที่พบ</t>
  </si>
  <si>
    <t xml:space="preserve">Sprint 8 - ส่งมอบงานสมบูรณ์</t>
  </si>
  <si>
    <t xml:space="preserve">10 ก.ย. – 17 ต.ค. 2569</t>
  </si>
  <si>
    <t xml:space="preserve">ปิดข้อกำหนดที่เหลือ ขึ้นเว็บผู้ดูแลบนคลาวด์ แช่แข็งโค้ด แล้วจัดทำเอกสารฉบับสมบูรณ์ สไลด์ วิดีโอ และส่ง prjSE_G11.zip</t>
  </si>
  <si>
    <t xml:space="preserve">Active</t>
  </si>
  <si>
    <t xml:space="preserve">รวมทั้งโครงการ</t>
  </si>
  <si>
    <t xml:space="preserve">Sprint 6 วางแผนงานเกิน Capacity โดยตั้งใจแสดงไว้ในแผน</t>
  </si>
  <si>
    <t xml:space="preserve">สัปดาห์นั้นต้องส่ง SIT พร้อมกับพัฒนาการจองคิวและ QR ซึ่งเป็นหัวใจของระบบ</t>
  </si>
  <si>
    <t xml:space="preserve">แนวทางรับมือบันทึกไว้ในทะเบียนความเสี่ยงข้อ R1 คือเพิ่มชั่วโมงทำงานร่วมกันเป็น 16 ชั่วโมงต่อคนในสัปดาห์นั้น</t>
  </si>
  <si>
    <t xml:space="preserve">จำนวนงานและช่วงเวลาในตารางนี้ตรงกับข้อมูลที่ส่งออกจาก Jira เมื่อ 16 ก.ย. 2569</t>
  </si>
  <si>
    <t xml:space="preserve">ส่วนคอลัมน์ Story Point เป็นค่าประมาณการตอนวางแผน ซึ่งไม่ได้ติดมากับไฟล์ที่ส่งออก</t>
  </si>
  <si>
    <t xml:space="preserve">กำหนดส่งงานของรายวิชา และ Sprint ที่รองรับ</t>
  </si>
  <si>
    <t xml:space="preserve">คาบ</t>
  </si>
  <si>
    <t xml:space="preserve">วันที่</t>
  </si>
  <si>
    <t xml:space="preserve">งานที่ต้องส่ง</t>
  </si>
  <si>
    <t xml:space="preserve">ชื่อไฟล์</t>
  </si>
  <si>
    <t xml:space="preserve">Sprint ที่รองรับ</t>
  </si>
  <si>
    <t xml:space="preserve">2</t>
  </si>
  <si>
    <t xml:space="preserve">10 ก.ค. 2569</t>
  </si>
  <si>
    <t xml:space="preserve">จัดกลุ่มและกำหนดหัวข้อโครงงาน</t>
  </si>
  <si>
    <t xml:space="preserve">Google Sheet ของรายวิชา</t>
  </si>
  <si>
    <t xml:space="preserve">1</t>
  </si>
  <si>
    <t xml:space="preserve">ส่งแล้ว</t>
  </si>
  <si>
    <t xml:space="preserve">3</t>
  </si>
  <si>
    <t xml:space="preserve">15 ก.ค. 2569</t>
  </si>
  <si>
    <t xml:space="preserve">แบบเสนอโครงงาน P01</t>
  </si>
  <si>
    <t xml:space="preserve">G11_P01.docx</t>
  </si>
  <si>
    <t xml:space="preserve">4</t>
  </si>
  <si>
    <t xml:space="preserve">วางแผนโครงการด้วย Jira</t>
  </si>
  <si>
    <t xml:space="preserve">G11_SaveEats_YYYY-MM-DD.csv</t>
  </si>
  <si>
    <t xml:space="preserve">5</t>
  </si>
  <si>
    <t xml:space="preserve">22 ก.ค. 2569</t>
  </si>
  <si>
    <t xml:space="preserve">เมตริกการตรวจสอบความต้องการ (RTM)</t>
  </si>
  <si>
    <t xml:space="preserve">G11_RTM.xlsx</t>
  </si>
  <si>
    <t xml:space="preserve">6</t>
  </si>
  <si>
    <t xml:space="preserve">5 ส.ค. 2569</t>
  </si>
  <si>
    <t xml:space="preserve">เอกสารข้อกำหนดซอฟต์แวร์ (SRS)</t>
  </si>
  <si>
    <t xml:space="preserve">G11_SRS.docx</t>
  </si>
  <si>
    <t xml:space="preserve">8</t>
  </si>
  <si>
    <t xml:space="preserve">20 ส.ค. 2569</t>
  </si>
  <si>
    <t xml:space="preserve">แบบจำลองการออกแบบและ UX/UI</t>
  </si>
  <si>
    <t xml:space="preserve">G11_UI.docx</t>
  </si>
  <si>
    <t xml:space="preserve">9</t>
  </si>
  <si>
    <t xml:space="preserve">27 ส.ค. 2569</t>
  </si>
  <si>
    <t xml:space="preserve">CI Pipeline</t>
  </si>
  <si>
    <t xml:space="preserve">.github/workflows/ci.yml</t>
  </si>
  <si>
    <t xml:space="preserve">10</t>
  </si>
  <si>
    <t xml:space="preserve">3 ก.ย. 2569</t>
  </si>
  <si>
    <t xml:space="preserve">สถานการณ์ทดสอบการบูรณาการ (SIT)</t>
  </si>
  <si>
    <t xml:space="preserve">G11_SIT.xlsx</t>
  </si>
  <si>
    <t xml:space="preserve">9 ก.ย. 2569</t>
  </si>
  <si>
    <t xml:space="preserve">การทดสอบการยอมรับของผู้ใช้ (UAT)</t>
  </si>
  <si>
    <t xml:space="preserve">G11_UAT.xlsx</t>
  </si>
  <si>
    <t xml:space="preserve">7</t>
  </si>
  <si>
    <t xml:space="preserve">12</t>
  </si>
  <si>
    <t xml:space="preserve">17 ก.ย. 2569</t>
  </si>
  <si>
    <t xml:space="preserve">นำเสนอความก้าวหน้าครั้งที่ 8</t>
  </si>
  <si>
    <t xml:space="preserve">—</t>
  </si>
  <si>
    <t xml:space="preserve">กำลังดำเนินการ</t>
  </si>
  <si>
    <t xml:space="preserve">17 ต.ค. 2569</t>
  </si>
  <si>
    <t xml:space="preserve">ส่งโครงงานขั้นสุดท้าย</t>
  </si>
  <si>
    <t xml:space="preserve">prjSE_G11.zip</t>
  </si>
  <si>
    <t xml:space="preserve">Epic ทั้ง 12 กลุ่ม</t>
  </si>
  <si>
    <t xml:space="preserve">รหัสและชื่อตรงกับที่อยู่ใน Jira จริง</t>
  </si>
  <si>
    <t xml:space="preserve">รหัสใน Jira</t>
  </si>
  <si>
    <t xml:space="preserve">ชื่อ Epic</t>
  </si>
  <si>
    <t xml:space="preserve">ขอบเขตของงาน</t>
  </si>
  <si>
    <t xml:space="preserve">Sprint ที่เกี่ยวข้อง</t>
  </si>
  <si>
    <t xml:space="preserve">SCRUM-5</t>
  </si>
  <si>
    <t xml:space="preserve">การบริหารโครงการและการประสานงาน</t>
  </si>
  <si>
    <t xml:space="preserve">วางแผน ติดตามความก้าวหน้า ประชุมทีม และนำเสนอความก้าวหน้า 8 ครั้ง</t>
  </si>
  <si>
    <t xml:space="preserve">1–8</t>
  </si>
  <si>
    <t xml:space="preserve">SCRUM-6</t>
  </si>
  <si>
    <t xml:space="preserve">วิศวกรรมความต้องการ (Requirements Engineering)</t>
  </si>
  <si>
    <t xml:space="preserve">สัมภาษณ์ผู้ใช้ แบบสอบถาม User Story จัดทำ RTM และ SRS</t>
  </si>
  <si>
    <t xml:space="preserve">2–3</t>
  </si>
  <si>
    <t xml:space="preserve">SCRUM-7</t>
  </si>
  <si>
    <t xml:space="preserve">การออกแบบระบบและ UX/UI</t>
  </si>
  <si>
    <t xml:space="preserve">ER Diagram, Component, Class, API Contract, Wireframe และระบบสี</t>
  </si>
  <si>
    <t xml:space="preserve">3–4</t>
  </si>
  <si>
    <t xml:space="preserve">SCRUM-8</t>
  </si>
  <si>
    <t xml:space="preserve">โครงสร้างพื้นฐานของระบบและฐานข้อมูล</t>
  </si>
  <si>
    <t xml:space="preserve">วางโครงโปรเจกต์ 3 ส่วน ติดตั้ง MySQL ชนิดข้อมูลร่วม และ health check</t>
  </si>
  <si>
    <t xml:space="preserve">SCRUM-9</t>
  </si>
  <si>
    <t xml:space="preserve">การยืนยันตัวตนและบัญชีผู้ใช้</t>
  </si>
  <si>
    <t xml:space="preserve">สมัครสมาชิก เข้าสู่ระบบ ลืมรหัสผ่าน เปลี่ยนรหัสผ่าน และโปรไฟล์</t>
  </si>
  <si>
    <t xml:space="preserve">5, 8</t>
  </si>
  <si>
    <t xml:space="preserve">SCRUM-10</t>
  </si>
  <si>
    <t xml:space="preserve">การจัดการร้านค้าและผู้ประกอบการ</t>
  </si>
  <si>
    <t xml:space="preserve">ลงทะเบียนร้าน เวลาเปิด-ปิด และตำแหน่งร้านบนแผนที่</t>
  </si>
  <si>
    <t xml:space="preserve">SCRUM-11</t>
  </si>
  <si>
    <t xml:space="preserve">ประกาศอาหารเหลือ ค้นหา และแผนที่</t>
  </si>
  <si>
    <t xml:space="preserve">ประกาศอาหาร ค้นหา ตัวกรอง และร้านใกล้ฉัน</t>
  </si>
  <si>
    <t xml:space="preserve">5–6</t>
  </si>
  <si>
    <t xml:space="preserve">SCRUM-12</t>
  </si>
  <si>
    <t xml:space="preserve">การจองคิวและการรับอาหารด้วย QR</t>
  </si>
  <si>
    <t xml:space="preserve">จองคิว ถือคิว ยกเลิก ปิดคิวอัตโนมัติ และสแกน QR</t>
  </si>
  <si>
    <t xml:space="preserve">SCRUM-13</t>
  </si>
  <si>
    <t xml:space="preserve">ร้านโปรดและการแจ้งเตือน</t>
  </si>
  <si>
    <t xml:space="preserve">บันทึกร้านโปรด แจ้งเตือนในแอป และเตือนก่อนคิวหมดเวลา</t>
  </si>
  <si>
    <t xml:space="preserve">6, 8</t>
  </si>
  <si>
    <t xml:space="preserve">SCRUM-14</t>
  </si>
  <si>
    <t xml:space="preserve">เว็บผู้ดูแลระบบ (Admin Web)</t>
  </si>
  <si>
    <t xml:space="preserve">เข้าสู่ระบบหลังบ้าน อนุมัติและระงับร้าน รายงานภาพรวม และขึ้นคลาวด์</t>
  </si>
  <si>
    <t xml:space="preserve">SCRUM-15</t>
  </si>
  <si>
    <t xml:space="preserve">CI/CD และคุณภาพโค้ด</t>
  </si>
  <si>
    <t xml:space="preserve">GitHub Actions 3 job ชุดทดสอบอัตโนมัติ 40 ข้อ และการตรวจชนิดข้อมูล</t>
  </si>
  <si>
    <t xml:space="preserve">SCRUM-16</t>
  </si>
  <si>
    <t xml:space="preserve">การทดสอบและการส่งมอบ</t>
  </si>
  <si>
    <t xml:space="preserve">SIT, UAT, แก้ข้อบกพร่อง, เอกสารฉบับสมบูรณ์ สไลด์ และวิดีโอ</t>
  </si>
  <si>
    <t xml:space="preserve">6–8</t>
  </si>
  <si>
    <t xml:space="preserve">สรุปจำนวนรายการงานใน Jira (ส่งออกเมื่อ 16 ก.ย. 2569)</t>
  </si>
  <si>
    <t xml:space="preserve">Epic</t>
  </si>
  <si>
    <t xml:space="preserve">User Story</t>
  </si>
  <si>
    <t xml:space="preserve">21</t>
  </si>
  <si>
    <t xml:space="preserve">Task</t>
  </si>
  <si>
    <t xml:space="preserve">84</t>
  </si>
  <si>
    <t xml:space="preserve">รวมรายการงาน (Story + Task)</t>
  </si>
  <si>
    <t xml:space="preserve">105</t>
  </si>
  <si>
    <t xml:space="preserve">รวมทุกประเภท</t>
  </si>
  <si>
    <t xml:space="preserve">117</t>
  </si>
  <si>
    <t xml:space="preserve">สถานะ Done</t>
  </si>
  <si>
    <t xml:space="preserve">94</t>
  </si>
  <si>
    <t xml:space="preserve">สถานะ In Progress</t>
  </si>
  <si>
    <t xml:space="preserve">สถานะ To Do</t>
  </si>
  <si>
    <t xml:space="preserve">หมายเหตุ : Epic ทั้ง 12 รายการยังมีสถานะ To Do แม้งานลูกจะเสร็จหมดแล้ว</t>
  </si>
  <si>
    <t xml:space="preserve">ควรปิด Epic ให้เป็น Done ก่อนส่งงาน เพื่อให้บอร์ดสะท้อนความก้าวหน้าจริง</t>
  </si>
  <si>
    <t xml:space="preserve">ทะเบียนความเสี่ยงของโครงการ</t>
  </si>
  <si>
    <t xml:space="preserve">รหัส</t>
  </si>
  <si>
    <t xml:space="preserve">ความเสี่ยง</t>
  </si>
  <si>
    <t xml:space="preserve">โอกาสเกิด</t>
  </si>
  <si>
    <t xml:space="preserve">ผลกระทบ</t>
  </si>
  <si>
    <t xml:space="preserve">แนวทางรับมือ</t>
  </si>
  <si>
    <t xml:space="preserve">ผลที่เกิดขึ้นจริง</t>
  </si>
  <si>
    <t xml:space="preserve">R1</t>
  </si>
  <si>
    <t xml:space="preserve">Sprint 6 วางแผนงานเกิน Capacity</t>
  </si>
  <si>
    <t xml:space="preserve">สูง</t>
  </si>
  <si>
    <t xml:space="preserve">เพิ่มชั่วโมงทำงานร่วมกันเป็น 16 ชั่วโมงต่อคน และเตรียมเลื่อนงานรายงานฝั่งผู้ดูแลไป Sprint 8</t>
  </si>
  <si>
    <t xml:space="preserve">เกิดขึ้นจริง แก้โดยเลื่อนงานบางส่วนไป Sprint 8 ตามแผน</t>
  </si>
  <si>
    <t xml:space="preserve">R2</t>
  </si>
  <si>
    <t xml:space="preserve">ทดสอบฟีเจอร์ระยะทางไม่ได้เพราะต้องอยู่เครือข่ายเดียวกัน</t>
  </si>
  <si>
    <t xml:space="preserve">ปานกลาง</t>
  </si>
  <si>
    <t xml:space="preserve">ติดตั้ง Tailscale ทั้งคอมพิวเตอร์และมือถือด้วยบัญชีเดียวกัน</t>
  </si>
  <si>
    <t xml:space="preserve">แก้ได้ตามแผน และภายหลังหมดปัญหาเมื่อขึ้นคลาวด์แล้ว</t>
  </si>
  <si>
    <t xml:space="preserve">R3</t>
  </si>
  <si>
    <t xml:space="preserve">Expo Go อัปเดตอัตโนมัติจนเวอร์ชันไม่ตรงกับ SDK</t>
  </si>
  <si>
    <t xml:space="preserve">ปิดการอัปเดตอัตโนมัติ และเปลี่ยนไปแจกเป็นไฟล์ APK แทนการใช้ Expo Go</t>
  </si>
  <si>
    <t xml:space="preserve">แก้โดยสร้าง APK แจกโดยตรง ไม่พึ่ง Expo Go อีก</t>
  </si>
  <si>
    <t xml:space="preserve">R4</t>
  </si>
  <si>
    <t xml:space="preserve">ยังไม่มี Google Maps API Key</t>
  </si>
  <si>
    <t xml:space="preserve">ใช้ OpenStreetMap ซึ่งไม่ต้องใช้กุญแจและไม่มีค่าใช้จ่าย</t>
  </si>
  <si>
    <t xml:space="preserve">เปลี่ยนไปใช้ OpenStreetMap และลบการตั้งค่า Google Maps ออกทั้งหมด</t>
  </si>
  <si>
    <t xml:space="preserve">R5</t>
  </si>
  <si>
    <t xml:space="preserve">สมาชิกติดสอบของรายวิชาอื่น</t>
  </si>
  <si>
    <t xml:space="preserve">ลด Capacity ของ Sprint ที่ทับช่วงสอบไว้ตั้งแต่ตอนวางแผน</t>
  </si>
  <si>
    <t xml:space="preserve">จัดการได้ตามแผน ไม่กระทบกำหนดส่ง</t>
  </si>
  <si>
    <t xml:space="preserve">R6</t>
  </si>
  <si>
    <t xml:space="preserve">ความต้องการเปลี่ยนกลางทาง</t>
  </si>
  <si>
    <t xml:space="preserve">ยืนยัน RTM กับผู้ใช้ทุกครั้งที่เปลี่ยน และตรึงขอบเขต MVP ตั้งแต่ Sprint 2</t>
  </si>
  <si>
    <t xml:space="preserve">มีการเพิ่มความต้องการเรื่องการเปลี่ยนรหัสผ่านในแอปช่วง Sprint 8</t>
  </si>
  <si>
    <t xml:space="preserve">R7</t>
  </si>
  <si>
    <t xml:space="preserve">ไฟล์ส่งไม่ครบหรือชื่อไฟล์ผิด</t>
  </si>
  <si>
    <t xml:space="preserve">ใช้รายการตรวจสอบไฟล์ทั้ง 7 รายการก่อนบีบอัด และให้สมาชิกอีกคนตรวจซ้ำ</t>
  </si>
  <si>
    <t xml:space="preserve">เฝ้าระวังอยู่ ยังไม่ถึงกำหนดส่ง</t>
  </si>
  <si>
    <t xml:space="preserve">R8</t>
  </si>
  <si>
    <t xml:space="preserve">เซิร์ฟเวอร์แผนฟรีพักการทำงานเมื่อไม่มีผู้ใช้</t>
  </si>
  <si>
    <t xml:space="preserve">ปลุกเซิร์ฟเวอร์ล่วงหน้า 2 นาทีก่อนนำเสนอ และขยายเวลารอของแอปให้รองรับการตื่นจากพัก</t>
  </si>
  <si>
    <t xml:space="preserve">แก้แล้วโดยขยายเวลารอเป็น 60 วินาที พร้อมข้อความแจ้งผู้ใช้ที่เข้าใจได้</t>
  </si>
  <si>
    <t xml:space="preserve">Definition of Done</t>
  </si>
  <si>
    <t xml:space="preserve">งานจะถือว่าเสร็จก็ต่อเมื่อผ่านครบทุกข้อที่เกี่ยวข้อง</t>
  </si>
  <si>
    <t xml:space="preserve">ข้อ</t>
  </si>
  <si>
    <t xml:space="preserve">เกณฑ์</t>
  </si>
  <si>
    <t xml:space="preserve">วิธีตรวจสอบ</t>
  </si>
  <si>
    <t xml:space="preserve">โค้ดผ่านการตรวจชนิดข้อมูลโดยไม่มีข้อผิดพลาด</t>
  </si>
  <si>
    <t xml:space="preserve">สั่ง npm run typecheck ครบทั้ง 3 ส่วนของโปรเจกต์</t>
  </si>
  <si>
    <t xml:space="preserve">ผ่าน CI Pipeline บน GitHub Actions ครบทั้ง 3 job</t>
  </si>
  <si>
    <t xml:space="preserve">ดูเครื่องหมายถูกสีเขียวในแท็บ Actions ของ GitHub</t>
  </si>
  <si>
    <t xml:space="preserve">มีสมาชิกอีกอย่างน้อย 1 คนรีวิวโค้ดก่อนรวมเข้า branch หลัก</t>
  </si>
  <si>
    <t xml:space="preserve">ดูประวัติการรีวิวใน Merge Request</t>
  </si>
  <si>
    <t xml:space="preserve">ทดสอบตามเกณฑ์การยอมรับครบทุกข้อและผ่านทั้งหมด</t>
  </si>
  <si>
    <t xml:space="preserve">กรอกผลใน G11_SIT.xlsx และ G11_UAT.xlsx</t>
  </si>
  <si>
    <t xml:space="preserve">งานฝั่งแอปมือถือทดสอบบนอุปกรณ์จริงอย่างน้อย 1 เครื่อง</t>
  </si>
  <si>
    <t xml:space="preserve">ติดตั้งไฟล์ APK แล้วใช้งานจริง</t>
  </si>
  <si>
    <t xml:space="preserve">อัปเดต RTM ให้เชื่อมโยงกับรหัสข้อกำหนดที่เกี่ยวข้อง</t>
  </si>
  <si>
    <t xml:space="preserve">ตรวจคอลัมน์ Validation Test Case ID ใน G11_RTM.xlsx</t>
  </si>
  <si>
    <t xml:space="preserve">เอกสารที่เกี่ยวข้องถูกปรับให้ตรงกับสิ่งที่ทำจริง</t>
  </si>
  <si>
    <t xml:space="preserve">ตรวจย้อนจากทะเบียนกลางของทีม</t>
  </si>
  <si>
    <t xml:space="preserve">อัปเดตสถานะใน Jira เป็น Done และบันทึกเวลาที่ใช้จริง</t>
  </si>
  <si>
    <t xml:space="preserve">ดูบอร์ดและรายงาน Burn-down ใน Jira</t>
  </si>
  <si>
    <t xml:space="preserve">ข้อตกลงการทำงานของทีม</t>
  </si>
  <si>
    <t xml:space="preserve">หัวข้อ</t>
  </si>
  <si>
    <t xml:space="preserve">รายละเอียด</t>
  </si>
  <si>
    <t xml:space="preserve">Daily Scrum</t>
  </si>
  <si>
    <t xml:space="preserve">ออนไลน์ 15 นาที ทุกวันจันทร์ พุธ และศุกร์ เวลา 20:00 น.</t>
  </si>
  <si>
    <t xml:space="preserve">ประชุมใหญ่</t>
  </si>
  <si>
    <t xml:space="preserve">ทุกวันอาทิตย์ เวลา 13:00–16:00 น. ครบ 3 ชั่วโมงตามข้อกำหนดของรายวิชา</t>
  </si>
  <si>
    <t xml:space="preserve">Sprint Planning</t>
  </si>
  <si>
    <t xml:space="preserve">ทุกวันพฤหัสบดีหลังเลิกเรียน</t>
  </si>
  <si>
    <t xml:space="preserve">Sprint Review</t>
  </si>
  <si>
    <t xml:space="preserve">ในคาบเรียนวันพฤหัสบดี พร้อมนำเสนอความก้าวหน้าต่ออาจารย์</t>
  </si>
  <si>
    <t xml:space="preserve">Sprint Retrospective</t>
  </si>
  <si>
    <t xml:space="preserve">ทุกวันอาทิตย์ ต่อจากการประชุมใหญ่</t>
  </si>
  <si>
    <t xml:space="preserve">การอัปเดตสถานะงาน</t>
  </si>
  <si>
    <t xml:space="preserve">งานทุกชิ้นต้องมีผู้รับผิดชอบชัดเจนใน Jira และอัปเดตสถานะอย่างน้อยสัปดาห์ละ 2 ครั้ง</t>
  </si>
  <si>
    <t xml:space="preserve">การรวมโค้ด</t>
  </si>
  <si>
    <t xml:space="preserve">โค้ดทุกชิ้นต้องผ่าน CI และมีสมาชิกอีก 1 คนรีวิวก่อนรวมเข้า branch หลัก</t>
  </si>
  <si>
    <t xml:space="preserve">การจัดการซอร์สโค้ด</t>
  </si>
  <si>
    <t xml:space="preserve">ส่งโค้ดขึ้นทั้ง GitLab และ GitHub ทุกครั้ง เนื่องจาก GitLab เป็นต้นทางของการ deploy ส่วน GitHub ใช้รัน CI</t>
  </si>
  <si>
    <t xml:space="preserve">การตัดสินใจ</t>
  </si>
  <si>
    <t xml:space="preserve">เรื่องที่กระทบขอบเขตต้องมีมติร่วมกันในที่ประชุมใหญ่ และบันทึกไว้เป็นลายลักษณ์อักษร</t>
  </si>
  <si>
    <t xml:space="preserve">รายการงานทั้งหมดใน Jira</t>
  </si>
  <si>
    <t xml:space="preserve">ข้อมูลส่งออกจาก Jira Timeline เมื่อ 16 กันยายน 2569 · 117 รายการ</t>
  </si>
  <si>
    <t xml:space="preserve">ประเภท</t>
  </si>
  <si>
    <t xml:space="preserve">งานหลัก</t>
  </si>
  <si>
    <t xml:space="preserve">รายละเอียดงาน</t>
  </si>
  <si>
    <t xml:space="preserve">วันเริ่ม</t>
  </si>
  <si>
    <t xml:space="preserve">วันครบกำหนด</t>
  </si>
  <si>
    <t xml:space="preserve">To Do</t>
  </si>
  <si>
    <t xml:space="preserve">2026/07/09</t>
  </si>
  <si>
    <t xml:space="preserve">2026/09/16</t>
  </si>
  <si>
    <t xml:space="preserve">2026/07/16</t>
  </si>
  <si>
    <t xml:space="preserve">2026/09/09</t>
  </si>
  <si>
    <t xml:space="preserve">2026/08/06</t>
  </si>
  <si>
    <t xml:space="preserve">2026/08/20</t>
  </si>
  <si>
    <t xml:space="preserve">2026/08/26</t>
  </si>
  <si>
    <t xml:space="preserve">2026/09/02</t>
  </si>
  <si>
    <t xml:space="preserve">2026/08/27</t>
  </si>
  <si>
    <t xml:space="preserve">SCRUM-17</t>
  </si>
  <si>
    <t xml:space="preserve">จัดกลุ่มโครงงานและลงทะเบียนสมาชิกในระบบ</t>
  </si>
  <si>
    <t xml:space="preserve">Done</t>
  </si>
  <si>
    <t xml:space="preserve">2026/07/10</t>
  </si>
  <si>
    <t xml:space="preserve">SCRUM-18</t>
  </si>
  <si>
    <t xml:space="preserve">กำหนดตารางนัดประชุมทีมประจำสัปดาห์</t>
  </si>
  <si>
    <t xml:space="preserve">SCRUM-19</t>
  </si>
  <si>
    <t xml:space="preserve">สรุปหัวข้อโครงงานและระบุปัญหาที่ต้องการแก้</t>
  </si>
  <si>
    <t xml:space="preserve">2026/07/12</t>
  </si>
  <si>
    <t xml:space="preserve">SCRUM-20</t>
  </si>
  <si>
    <t xml:space="preserve">ศึกษาเปรียบเทียบแอปพลิเคชันใกล้เคียง</t>
  </si>
  <si>
    <t xml:space="preserve">2026/07/13</t>
  </si>
  <si>
    <t xml:space="preserve">SCRUM-21</t>
  </si>
  <si>
    <t xml:space="preserve">ระบุผู้มีส่วนได้ส่วนเสียของระบบ</t>
  </si>
  <si>
    <t xml:space="preserve">SCRUM-22</t>
  </si>
  <si>
    <t xml:space="preserve">กำหนดเทคโนโลยีและเครื่องมือที่ใช้ในโครงงาน</t>
  </si>
  <si>
    <t xml:space="preserve">2026/07/11</t>
  </si>
  <si>
    <t xml:space="preserve">2026/07/14</t>
  </si>
  <si>
    <t xml:space="preserve">SCRUM-23</t>
  </si>
  <si>
    <t xml:space="preserve">จัดทำแบบเสนอโครงงาน P01 (G11_P01.docx)</t>
  </si>
  <si>
    <t xml:space="preserve">2026/07/15</t>
  </si>
  <si>
    <t xml:space="preserve">SCRUM-24</t>
  </si>
  <si>
    <t xml:space="preserve">สร้าง Jira Site และ Project สำหรับกลุ่ม 11</t>
  </si>
  <si>
    <t xml:space="preserve">SCRUM-25</t>
  </si>
  <si>
    <t xml:space="preserve">เชิญสมาชิกเข้า Jira Site และกำหนดสิทธิ์</t>
  </si>
  <si>
    <t xml:space="preserve">SCRUM-26</t>
  </si>
  <si>
    <t xml:space="preserve">ตั้งค่า Scrum Board, Sprint และ Definition of Done</t>
  </si>
  <si>
    <t xml:space="preserve">SCRUM-27</t>
  </si>
  <si>
    <t xml:space="preserve">วางแผนโครงงานทั้งภาคการศึกษาบน Jira Timeline</t>
  </si>
  <si>
    <t xml:space="preserve">SCRUM-28</t>
  </si>
  <si>
    <t xml:space="preserve">ศึกษาและรวบรวมข้อมูลพฤติกรรมการลดราคาสินค้าจากแหล่งข้อมูลออนไลน์</t>
  </si>
  <si>
    <t xml:space="preserve">2026/07/17</t>
  </si>
  <si>
    <t xml:space="preserve">SCRUM-29</t>
  </si>
  <si>
    <t xml:space="preserve">สำรวจและวิเคราะห์รูปแบบการระบายอาหารใกล้หมดอายุของห้างใหญ่และร้านสะดวกซื้อ</t>
  </si>
  <si>
    <t xml:space="preserve">2026/07/19</t>
  </si>
  <si>
    <t xml:space="preserve">SCRUM-30</t>
  </si>
  <si>
    <t xml:space="preserve">ศึกษาปัญหาและข้อจำกัดของร้านอาหารริมทางในการเข้าร่วมแพลตฟอร์มลดราคาอาหาร</t>
  </si>
  <si>
    <t xml:space="preserve">SCRUM-31</t>
  </si>
  <si>
    <t xml:space="preserve">จัดทำ User Story ชุดแรกจากการศึกษาข้อมูลออนไลน์</t>
  </si>
  <si>
    <t xml:space="preserve">2026/07/18</t>
  </si>
  <si>
    <t xml:space="preserve">2026/07/20</t>
  </si>
  <si>
    <t xml:space="preserve">SCRUM-32</t>
  </si>
  <si>
    <t xml:space="preserve">จัดลำดับความสำคัญความต้องการด้วย MoSCoW</t>
  </si>
  <si>
    <t xml:space="preserve">2026/07/21</t>
  </si>
  <si>
    <t xml:space="preserve">SCRUM-33</t>
  </si>
  <si>
    <t xml:space="preserve">ประเมินความเป็นไปได้ของโครงงาน</t>
  </si>
  <si>
    <t xml:space="preserve">SCRUM-34</t>
  </si>
  <si>
    <t xml:space="preserve">จัดทำ Requirements Traceability Matrix (G11_RTM.xlsx)</t>
  </si>
  <si>
    <t xml:space="preserve">2026/07/22</t>
  </si>
  <si>
    <t xml:space="preserve">SCRUM-35</t>
  </si>
  <si>
    <t xml:space="preserve">ทบทวน RTM ภายในทีมและปรับแก้</t>
  </si>
  <si>
    <t xml:space="preserve">SCRUM-36</t>
  </si>
  <si>
    <t xml:space="preserve">นำเสนอความก้าวหน้าครั้งที่ 2 (23 ก.ค. 69)</t>
  </si>
  <si>
    <t xml:space="preserve">2026/07/23</t>
  </si>
  <si>
    <t xml:space="preserve">SCRUM-37</t>
  </si>
  <si>
    <t xml:space="preserve">เขียน Use Case Diagram และ Use Case Description</t>
  </si>
  <si>
    <t xml:space="preserve">2026/07/28</t>
  </si>
  <si>
    <t xml:space="preserve">SCRUM-38</t>
  </si>
  <si>
    <t xml:space="preserve">เขียน DFD Level 0 (Context Diagram)</t>
  </si>
  <si>
    <t xml:space="preserve">2026/07/24</t>
  </si>
  <si>
    <t xml:space="preserve">2026/07/27</t>
  </si>
  <si>
    <t xml:space="preserve">SCRUM-39</t>
  </si>
  <si>
    <t xml:space="preserve">เขียน DFD Level 1</t>
  </si>
  <si>
    <t xml:space="preserve">2026/07/25</t>
  </si>
  <si>
    <t xml:space="preserve">2026/07/29</t>
  </si>
  <si>
    <t xml:space="preserve">SCRUM-40</t>
  </si>
  <si>
    <t xml:space="preserve">เขียน State Diagram ของสถานะการจอง</t>
  </si>
  <si>
    <t xml:space="preserve">2026/07/31</t>
  </si>
  <si>
    <t xml:space="preserve">SCRUM-41</t>
  </si>
  <si>
    <t xml:space="preserve">เขียน Sequence Diagram กระบวนการจองคิว</t>
  </si>
  <si>
    <t xml:space="preserve">2026/08/01</t>
  </si>
  <si>
    <t xml:space="preserve">SCRUM-42</t>
  </si>
  <si>
    <t xml:space="preserve">เขียน Sequence Diagram กระบวนการรับอาหารด้วย QR</t>
  </si>
  <si>
    <t xml:space="preserve">2026/08/02</t>
  </si>
  <si>
    <t xml:space="preserve">SCRUM-43</t>
  </si>
  <si>
    <t xml:space="preserve">เขียน Activity Diagram: ค้นหาร้านและอาหารใกล้ฉัน</t>
  </si>
  <si>
    <t xml:space="preserve">2026/07/30</t>
  </si>
  <si>
    <t xml:space="preserve">2026/08/03</t>
  </si>
  <si>
    <t xml:space="preserve">SCRUM-44</t>
  </si>
  <si>
    <t xml:space="preserve">เขียน Activity Diagram: ร้านค้าประกาศอาหารเหลือ</t>
  </si>
  <si>
    <t xml:space="preserve">SCRUM-45</t>
  </si>
  <si>
    <t xml:space="preserve">ระบุ System Features และ Non-functional Requirements</t>
  </si>
  <si>
    <t xml:space="preserve">2026/08/04</t>
  </si>
  <si>
    <t xml:space="preserve">SCRUM-46</t>
  </si>
  <si>
    <t xml:space="preserve">รวมเล่มและตรวจทาน SRS (G11_SRS.docx)</t>
  </si>
  <si>
    <t xml:space="preserve">2026/08/05</t>
  </si>
  <si>
    <t xml:space="preserve">SCRUM-47</t>
  </si>
  <si>
    <t xml:space="preserve">นำเสนอความก้าวหน้าครั้งที่ 3 (6 ส.ค. 69)</t>
  </si>
  <si>
    <t xml:space="preserve">SCRUM-48</t>
  </si>
  <si>
    <t xml:space="preserve">ออกแบบ ER Diagram และโครงสร้างฐานข้อมูล</t>
  </si>
  <si>
    <t xml:space="preserve">2026/08/10</t>
  </si>
  <si>
    <t xml:space="preserve">SCRUM-49</t>
  </si>
  <si>
    <t xml:space="preserve">ออกแบบสถาปัตยกรรมระบบและ Component Diagram</t>
  </si>
  <si>
    <t xml:space="preserve">SCRUM-50</t>
  </si>
  <si>
    <t xml:space="preserve">ออกแบบ Class Diagram ของระบบ</t>
  </si>
  <si>
    <t xml:space="preserve">2026/08/07</t>
  </si>
  <si>
    <t xml:space="preserve">2026/08/11</t>
  </si>
  <si>
    <t xml:space="preserve">SCRUM-51</t>
  </si>
  <si>
    <t xml:space="preserve">ออกแบบสัญญา API (API Contract)</t>
  </si>
  <si>
    <t xml:space="preserve">2026/08/08</t>
  </si>
  <si>
    <t xml:space="preserve">2026/08/12</t>
  </si>
  <si>
    <t xml:space="preserve">SCRUM-52</t>
  </si>
  <si>
    <t xml:space="preserve">ออกแบบ Wireframe ฝั่งลูกค้า</t>
  </si>
  <si>
    <t xml:space="preserve">2026/08/14</t>
  </si>
  <si>
    <t xml:space="preserve">SCRUM-53</t>
  </si>
  <si>
    <t xml:space="preserve">ออกแบบ Wireframe ฝั่งร้านค้า</t>
  </si>
  <si>
    <t xml:space="preserve">2026/08/15</t>
  </si>
  <si>
    <t xml:space="preserve">SCRUM-54</t>
  </si>
  <si>
    <t xml:space="preserve">ออกแบบ Wireframe หน้าเว็บ Admin</t>
  </si>
  <si>
    <t xml:space="preserve">SCRUM-55</t>
  </si>
  <si>
    <t xml:space="preserve">กำหนด Design System ของแอป</t>
  </si>
  <si>
    <t xml:space="preserve">2026/08/16</t>
  </si>
  <si>
    <t xml:space="preserve">SCRUM-56</t>
  </si>
  <si>
    <t xml:space="preserve">รวมเล่มเอกสาร Design Models และ UX/UI (G11_UI.docx)</t>
  </si>
  <si>
    <t xml:space="preserve">2026/08/19</t>
  </si>
  <si>
    <t xml:space="preserve">SCRUM-57</t>
  </si>
  <si>
    <t xml:space="preserve">สร้าง Git repository และกำหนด Branch Strategy</t>
  </si>
  <si>
    <t xml:space="preserve">SCRUM-58</t>
  </si>
  <si>
    <t xml:space="preserve">วางโครงสร้างโปรเจค Backend (Node.js + Express + TypeScript)</t>
  </si>
  <si>
    <t xml:space="preserve">SCRUM-59</t>
  </si>
  <si>
    <t xml:space="preserve">วางโครงสร้างโปรเจคแอปมือถือ (Expo SDK 54)</t>
  </si>
  <si>
    <t xml:space="preserve">2026/08/13</t>
  </si>
  <si>
    <t xml:space="preserve">SCRUM-60</t>
  </si>
  <si>
    <t xml:space="preserve">วางโครงสร้างโปรเจค Admin Web (React + Vite)</t>
  </si>
  <si>
    <t xml:space="preserve">SCRUM-61</t>
  </si>
  <si>
    <t xml:space="preserve">สร้างฐานข้อมูล MySQL และสคริปต์ schema.sql</t>
  </si>
  <si>
    <t xml:space="preserve">SCRUM-62</t>
  </si>
  <si>
    <t xml:space="preserve">จัดทำ shared types ระหว่างทั้ง 3 ส่วน</t>
  </si>
  <si>
    <t xml:space="preserve">SCRUM-63</t>
  </si>
  <si>
    <t xml:space="preserve">ตั้งค่า environment และ API health check</t>
  </si>
  <si>
    <t xml:space="preserve">2026/08/17</t>
  </si>
  <si>
    <t xml:space="preserve">SCRUM-64</t>
  </si>
  <si>
    <t xml:space="preserve">นำเสนอความก้าวหน้าครั้งที่ 4 และปรับแผน (20 ส.ค. 69)</t>
  </si>
  <si>
    <t xml:space="preserve">SCRUM-65</t>
  </si>
  <si>
    <t xml:space="preserve">Story</t>
  </si>
  <si>
    <t xml:space="preserve">ในฐานะผู้ใช้ใหม่ ฉันต้องการสมัครสมาชิกด้วยอีเมลหรือเบอร์โทรศัพท์ เพื่อเริ่มใช้งานระบบ</t>
  </si>
  <si>
    <t xml:space="preserve">2026/08/22</t>
  </si>
  <si>
    <t xml:space="preserve">SCRUM-66</t>
  </si>
  <si>
    <t xml:space="preserve">ในฐานะผู้ใช้ ฉันต้องการเข้าสู่ระบบด้วยอีเมลหรือเบอร์โทรและรหัสผ่าน เพื่อเข้าถึงข้อมูลของฉัน</t>
  </si>
  <si>
    <t xml:space="preserve">SCRUM-67</t>
  </si>
  <si>
    <t xml:space="preserve">ในฐานะผู้ใช้ที่ลืมรหัสผ่าน ฉันต้องการรีเซ็ตรหัสผ่าน เพื่อกลับเข้าใช้งานได้</t>
  </si>
  <si>
    <t xml:space="preserve">2026/08/21</t>
  </si>
  <si>
    <t xml:space="preserve">2026/08/24</t>
  </si>
  <si>
    <t xml:space="preserve">SCRUM-68</t>
  </si>
  <si>
    <t xml:space="preserve">ในฐานะผู้ใช้ ฉันต้องการแก้ไขข้อมูลส่วนตัวและรูปโปรไฟล์ เพื่อให้ข้อมูลเป็นปัจจุบัน</t>
  </si>
  <si>
    <t xml:space="preserve">2026/08/25</t>
  </si>
  <si>
    <t xml:space="preserve">SCRUM-69</t>
  </si>
  <si>
    <t xml:space="preserve">ทำ JWT middleware และการควบคุมสิทธิ์ตามบทบาท</t>
  </si>
  <si>
    <t xml:space="preserve">2026/08/23</t>
  </si>
  <si>
    <t xml:space="preserve">SCRUM-70</t>
  </si>
  <si>
    <t xml:space="preserve">จัดทำสคริปต์ migration_01_auth.sql</t>
  </si>
  <si>
    <t xml:space="preserve">SCRUM-71</t>
  </si>
  <si>
    <t xml:space="preserve">ในฐานะร้านค้า ฉันต้องการลงทะเบียนร้านและกรอกข้อมูลร้าน เพื่อเริ่มขายอาหารส่วนเกิน</t>
  </si>
  <si>
    <t xml:space="preserve">SCRUM-72</t>
  </si>
  <si>
    <t xml:space="preserve">ในฐานะร้านค้า ฉันต้องการกำหนดเวลาเปิด-ปิดและตำแหน่งร้านบนแผนที่ เพื่อให้ลูกค้าหาร้านเจอ</t>
  </si>
  <si>
    <t xml:space="preserve">SCRUM-73</t>
  </si>
  <si>
    <t xml:space="preserve">ในฐานะร้านค้า ฉันต้องการประกาศอาหารเหลือพร้อมราคา จำนวน และช่วงเวลารับ เพื่อขายก่อนหมดวัน</t>
  </si>
  <si>
    <t xml:space="preserve">SCRUM-74</t>
  </si>
  <si>
    <t xml:space="preserve">ในฐานะลูกค้า ฉันต้องการดูรายการอาหารในหน้าแรก เพื่อเห็นดีลที่มีอยู่ตอนนี้</t>
  </si>
  <si>
    <t xml:space="preserve">SCRUM-75</t>
  </si>
  <si>
    <t xml:space="preserve">อัปโหลดโปรเจคขึ้น GitHub เป็น private repository</t>
  </si>
  <si>
    <t xml:space="preserve">SCRUM-76</t>
  </si>
  <si>
    <t xml:space="preserve">ในฐานะทีมพัฒนา เราต้องการให้ระบบตรวจโค้ดอัตโนมัติทุกครั้งที่ push เพื่อรู้ปัญหาเร็วขึ้น</t>
  </si>
  <si>
    <t xml:space="preserve">SCRUM-77</t>
  </si>
  <si>
    <t xml:space="preserve">เขียน Unit Test ฝั่ง Backend</t>
  </si>
  <si>
    <t xml:space="preserve">SCRUM-78</t>
  </si>
  <si>
    <t xml:space="preserve">จัดทำบทพูดอธิบาย CI Pipeline สำหรับนำเสนอ</t>
  </si>
  <si>
    <t xml:space="preserve">SCRUM-79</t>
  </si>
  <si>
    <t xml:space="preserve">นำเสนอความก้าวหน้าครั้งที่ 5 และส่ง CI Pipeline (27 ส.ค. 69)</t>
  </si>
  <si>
    <t xml:space="preserve">SCRUM-80</t>
  </si>
  <si>
    <t xml:space="preserve">ในฐานะลูกค้า ฉันต้องการค้นหาอาหารด้วยคำค้นและตัวกรอง เพื่อหาสิ่งที่ต้องการได้เร็ว</t>
  </si>
  <si>
    <t xml:space="preserve">2026/08/30</t>
  </si>
  <si>
    <t xml:space="preserve">SCRUM-81</t>
  </si>
  <si>
    <t xml:space="preserve">ในฐานะลูกค้า ฉันต้องการดูร้านใกล้ฉันบนแผนที่และเรียงตามระยะทาง เพื่อเลือกร้านที่ไปรับสะดวก</t>
  </si>
  <si>
    <t xml:space="preserve">2026/09/01</t>
  </si>
  <si>
    <t xml:space="preserve">SCRUM-82</t>
  </si>
  <si>
    <t xml:space="preserve">ในฐานะลูกค้า ฉันต้องการดูรายละเอียดร้านและรายการอาหารของร้าน เพื่อตัดสินใจก่อนจอง</t>
  </si>
  <si>
    <t xml:space="preserve">2026/08/28</t>
  </si>
  <si>
    <t xml:space="preserve">2026/08/31</t>
  </si>
  <si>
    <t xml:space="preserve">SCRUM-83</t>
  </si>
  <si>
    <t xml:space="preserve">ในฐานะลูกค้า ฉันต้องการจองอาหารและได้คิวพร้อมเวลาถือคิว เพื่อมั่นใจว่าไปถึงแล้วยังมีของ</t>
  </si>
  <si>
    <t xml:space="preserve">SCRUM-84</t>
  </si>
  <si>
    <t xml:space="preserve">ในฐานะลูกค้า ฉันต้องการดูรายการจองของฉันและสถานะปัจจุบัน เพื่อไม่ให้พลาดเวลารับ</t>
  </si>
  <si>
    <t xml:space="preserve">2026/08/29</t>
  </si>
  <si>
    <t xml:space="preserve">SCRUM-85</t>
  </si>
  <si>
    <t xml:space="preserve">ในฐานะลูกค้า ฉันต้องการยกเลิกการจอง เพื่อคืนอาหารให้คนอื่นเมื่อไปรับไม่ได้</t>
  </si>
  <si>
    <t xml:space="preserve">SCRUM-86</t>
  </si>
  <si>
    <t xml:space="preserve">ในฐานะร้านค้า ฉันต้องการสแกน QR Code เพื่อยืนยันการส่งมอบอาหารให้ถูกคน</t>
  </si>
  <si>
    <t xml:space="preserve">SCRUM-87</t>
  </si>
  <si>
    <t xml:space="preserve">ในฐานะระบบ ฉันต้องยกเลิกคิวอัตโนมัติเมื่อเลยเวลาถือคิว เพื่อคืนของให้ลูกค้ารายอื่น</t>
  </si>
  <si>
    <t xml:space="preserve">SCRUM-88</t>
  </si>
  <si>
    <t xml:space="preserve">ในฐานะลูกค้า ฉันต้องการบันทึกร้านโปรดและดูรายการร้านโปรด เพื่อกลับมาซื้อซ้ำได้เร็ว</t>
  </si>
  <si>
    <t xml:space="preserve">SCRUM-89</t>
  </si>
  <si>
    <t xml:space="preserve">จัดทำสคริปต์ migration_02_favorites_hold.sql</t>
  </si>
  <si>
    <t xml:space="preserve">SCRUM-90</t>
  </si>
  <si>
    <t xml:space="preserve">ในฐานะผู้ดูแลระบบ ฉันต้องการเข้าสู่ระบบหลังบ้าน เพื่อจัดการข้อมูลของแพลตฟอร์ม</t>
  </si>
  <si>
    <t xml:space="preserve">SCRUM-91</t>
  </si>
  <si>
    <t xml:space="preserve">ในฐานะผู้ดูแลระบบ ฉันต้องการอนุมัติและระงับร้านค้า เพื่อคัดกรองคุณภาพของร้านในระบบ</t>
  </si>
  <si>
    <t xml:space="preserve">SCRUM-92</t>
  </si>
  <si>
    <t xml:space="preserve">ในฐานะผู้ดูแลระบบ ฉันต้องการดูรายงานภาพรวมของระบบ เพื่อติดตามผลการใช้งาน</t>
  </si>
  <si>
    <t xml:space="preserve">SCRUM-93</t>
  </si>
  <si>
    <t xml:space="preserve">จัดทำ System Integration Test Scenario (G11_SIT.xlsx)</t>
  </si>
  <si>
    <t xml:space="preserve">SCRUM-94</t>
  </si>
  <si>
    <t xml:space="preserve">ดำเนินการทดสอบเชื่อมต่อระบบและบันทึกผล</t>
  </si>
  <si>
    <t xml:space="preserve">SCRUM-95</t>
  </si>
  <si>
    <t xml:space="preserve">ตั้งค่า Tailscale สำหรับทดสอบนอกสถานที่</t>
  </si>
  <si>
    <t xml:space="preserve">SCRUM-96</t>
  </si>
  <si>
    <t xml:space="preserve">จัดทำคู่มือติดตั้งสำหรับผู้ทดสอบภายนอก</t>
  </si>
  <si>
    <t xml:space="preserve">SCRUM-97</t>
  </si>
  <si>
    <t xml:space="preserve">นำเสนอความก้าวหน้าครั้งที่ 6 และส่ง SIT (3 ก.ย. 69)</t>
  </si>
  <si>
    <t xml:space="preserve">2026/09/03</t>
  </si>
  <si>
    <t xml:space="preserve">SCRUM-98</t>
  </si>
  <si>
    <t xml:space="preserve">จัดทำ User Acceptance Test Case (G11_UAT.xlsx)</t>
  </si>
  <si>
    <t xml:space="preserve">2026/09/06</t>
  </si>
  <si>
    <t xml:space="preserve">SCRUM-99</t>
  </si>
  <si>
    <t xml:space="preserve">เตรียมข้อมูลทดสอบและบัญชีสำหรับผู้ทดสอบ</t>
  </si>
  <si>
    <t xml:space="preserve">2026/09/05</t>
  </si>
  <si>
    <t xml:space="preserve">SCRUM-100</t>
  </si>
  <si>
    <t xml:space="preserve">จัดกิจกรรมทดสอบการยอมรับกับผู้ใช้ตัวแทน</t>
  </si>
  <si>
    <t xml:space="preserve">2026/09/08</t>
  </si>
  <si>
    <t xml:space="preserve">SCRUM-101</t>
  </si>
  <si>
    <t xml:space="preserve">บันทึกผล UAT และรวบรวมข้อเสนอแนะ</t>
  </si>
  <si>
    <t xml:space="preserve">2026/09/07</t>
  </si>
  <si>
    <t xml:space="preserve">SCRUM-102</t>
  </si>
  <si>
    <t xml:space="preserve">แก้ไขข้อบกพร่องระดับ P1 และ P2 ที่พบจาก UAT</t>
  </si>
  <si>
    <t xml:space="preserve">SCRUM-103</t>
  </si>
  <si>
    <t xml:space="preserve">ปรับปรุง RTM เป็นฉบับ v2 (Test Case, Status และ Original Source)</t>
  </si>
  <si>
    <t xml:space="preserve">SCRUM-104</t>
  </si>
  <si>
    <t xml:space="preserve">นำเสนอความก้าวหน้าครั้งที่ 7 และส่ง UAT (10 ก.ย. 69)</t>
  </si>
  <si>
    <t xml:space="preserve">2026/09/10</t>
  </si>
  <si>
    <t xml:space="preserve">SCRUM-105</t>
  </si>
  <si>
    <t xml:space="preserve">ปรับปรุงประสิทธิภาพการค้นหาและเวลาตอบสนอง API</t>
  </si>
  <si>
    <t xml:space="preserve">2026/09/13</t>
  </si>
  <si>
    <t xml:space="preserve">SCRUM-106</t>
  </si>
  <si>
    <t xml:space="preserve">ปรับปรุง UX ตามข้อเสนอแนะจาก UAT</t>
  </si>
  <si>
    <t xml:space="preserve">2026/09/14</t>
  </si>
  <si>
    <t xml:space="preserve">SCRUM-107</t>
  </si>
  <si>
    <t xml:space="preserve">ปรับปรุงการจัดการข้อผิดพลาดและข้อความภาษาไทย</t>
  </si>
  <si>
    <t xml:space="preserve">2026/09/11</t>
  </si>
  <si>
    <t xml:space="preserve">SCRUM-108</t>
  </si>
  <si>
    <t xml:space="preserve">ตรวจสอบความปลอดภัยของระบบ</t>
  </si>
  <si>
    <t xml:space="preserve">2026/09/15</t>
  </si>
  <si>
    <t xml:space="preserve">SCRUM-109</t>
  </si>
  <si>
    <t xml:space="preserve">จัดทำ Burn-up / Burn-down Chart และสรุป Velocity</t>
  </si>
  <si>
    <t xml:space="preserve">SCRUM-110</t>
  </si>
  <si>
    <t xml:space="preserve">สรุปการปรับปรุงประสิทธิภาพการทำงานของทีม</t>
  </si>
  <si>
    <t xml:space="preserve">SCRUM-111</t>
  </si>
  <si>
    <t xml:space="preserve">นำเสนอความก้าวหน้าครั้งที่ 8 (17 ก.ย. 69)</t>
  </si>
  <si>
    <t xml:space="preserve">In Progress</t>
  </si>
  <si>
    <t xml:space="preserve">2026/09/17</t>
  </si>
  <si>
    <t xml:space="preserve">SCRUM-112</t>
  </si>
  <si>
    <t xml:space="preserve">จัดทำ Final Project Submission Form (G11_P04.docx)</t>
  </si>
  <si>
    <t xml:space="preserve">2026/10/05</t>
  </si>
  <si>
    <t xml:space="preserve">SCRUM-113</t>
  </si>
  <si>
    <t xml:space="preserve">ส่งออก Jira Timeline เป็นสเปรดชีต (G11_Plan.xlsx)</t>
  </si>
  <si>
    <t xml:space="preserve">2026/09/25</t>
  </si>
  <si>
    <t xml:space="preserve">SCRUM-114</t>
  </si>
  <si>
    <t xml:space="preserve">จัดทำ G11_SRS.pdf และ G11_UI.pdf ฉบับสมบูรณ์</t>
  </si>
  <si>
    <t xml:space="preserve">2026/09/20</t>
  </si>
  <si>
    <t xml:space="preserve">SCRUM-115</t>
  </si>
  <si>
    <t xml:space="preserve">ตรวจสอบ RTM, SIT และ UAT ฉบับสมบูรณ์</t>
  </si>
  <si>
    <t xml:space="preserve">2026/10/08</t>
  </si>
  <si>
    <t xml:space="preserve">SCRUM-116</t>
  </si>
  <si>
    <t xml:space="preserve">จัดทำสไลด์นำเสนอ (G11_Presentation.pptx)</t>
  </si>
  <si>
    <t xml:space="preserve">2026/09/28</t>
  </si>
  <si>
    <t xml:space="preserve">2026/10/10</t>
  </si>
  <si>
    <t xml:space="preserve">SCRUM-117</t>
  </si>
  <si>
    <t xml:space="preserve">อัดวิดีโอนำเสนอความยาวไม่น้อยกว่า 12 นาที</t>
  </si>
  <si>
    <t xml:space="preserve">2026/10/13</t>
  </si>
  <si>
    <t xml:space="preserve">SCRUM-118</t>
  </si>
  <si>
    <t xml:space="preserve">อัปโหลดวิดีโอขึ้น YouTube แบบ Unlisted และใส่ลิงก์ใน P04</t>
  </si>
  <si>
    <t xml:space="preserve">2026/10/15</t>
  </si>
  <si>
    <t xml:space="preserve">SCRUM-119</t>
  </si>
  <si>
    <t xml:space="preserve">รวมไฟล์ส่งงานทั้งหมดเป็น prjSE_G11.zip</t>
  </si>
  <si>
    <t xml:space="preserve">2026/10/14</t>
  </si>
  <si>
    <t xml:space="preserve">2026/10/16</t>
  </si>
  <si>
    <t xml:space="preserve">SCRUM-120</t>
  </si>
  <si>
    <t xml:space="preserve">ตรวจสอบความครบถ้วนก่อนส่งตาม checklist</t>
  </si>
  <si>
    <t xml:space="preserve">SCRUM-121</t>
  </si>
  <si>
    <t xml:space="preserve">ส่งงานในระบบก่อนกำหนด 17 ก.ย. 69 23:00 น.</t>
  </si>
  <si>
    <t xml:space="preserve">2026/10/17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</si>
</sst>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7D32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0"/>
      <color rgb="FFC6282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757575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E65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9C4"/>
        <bgColor rgb="FFFFFF99"/>
      </patternFill>
    </fill>
    <fill>
      <patternFill patternType="solid">
        <fgColor rgb="FFE8EAF6"/>
        <bgColor rgb="FFE8F5E9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8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D32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57575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57575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6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9.5" hidden="false" customHeight="true" outlineLevel="0" collapsed="false">
      <c r="A3" s="3" t="s">
        <v>2</v>
      </c>
      <c r="B3" s="4" t="s">
        <v>3</v>
      </c>
    </row>
    <row r="4" customFormat="false" ht="19.5" hidden="false" customHeight="true" outlineLevel="0" collapsed="false">
      <c r="A4" s="3" t="s">
        <v>4</v>
      </c>
      <c r="B4" s="4" t="s">
        <v>5</v>
      </c>
    </row>
    <row r="5" customFormat="false" ht="19.5" hidden="false" customHeight="true" outlineLevel="0" collapsed="false">
      <c r="A5" s="3" t="s">
        <v>6</v>
      </c>
      <c r="B5" s="4" t="s">
        <v>7</v>
      </c>
    </row>
    <row r="6" customFormat="false" ht="19.5" hidden="false" customHeight="true" outlineLevel="0" collapsed="false">
      <c r="A6" s="3" t="s">
        <v>8</v>
      </c>
      <c r="B6" s="4" t="s">
        <v>9</v>
      </c>
    </row>
    <row r="7" customFormat="false" ht="19.5" hidden="false" customHeight="true" outlineLevel="0" collapsed="false">
      <c r="A7" s="3" t="s">
        <v>10</v>
      </c>
      <c r="B7" s="4" t="s">
        <v>11</v>
      </c>
    </row>
    <row r="8" customFormat="false" ht="19.5" hidden="false" customHeight="true" outlineLevel="0" collapsed="false">
      <c r="A8" s="3" t="s">
        <v>12</v>
      </c>
      <c r="B8" s="4" t="s">
        <v>13</v>
      </c>
    </row>
    <row r="9" customFormat="false" ht="19.5" hidden="false" customHeight="true" outlineLevel="0" collapsed="false">
      <c r="A9" s="5"/>
      <c r="B9" s="6"/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19.5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  <row r="13" customFormat="false" ht="19.5" hidden="false" customHeight="true" outlineLevel="0" collapsed="false">
      <c r="A13" s="5"/>
      <c r="B13" s="6"/>
    </row>
    <row r="14" customFormat="false" ht="19.5" hidden="false" customHeight="true" outlineLevel="0" collapsed="false">
      <c r="A14" s="3" t="s">
        <v>20</v>
      </c>
      <c r="B14" s="4" t="s">
        <v>21</v>
      </c>
    </row>
    <row r="15" customFormat="false" ht="19.5" hidden="false" customHeight="true" outlineLevel="0" collapsed="false">
      <c r="A15" s="3" t="s">
        <v>22</v>
      </c>
      <c r="B15" s="4" t="s">
        <v>23</v>
      </c>
    </row>
    <row r="16" customFormat="false" ht="19.5" hidden="false" customHeight="true" outlineLevel="0" collapsed="false">
      <c r="A16" s="3" t="s">
        <v>24</v>
      </c>
      <c r="B16" s="4" t="s">
        <v>25</v>
      </c>
    </row>
    <row r="17" customFormat="false" ht="19.5" hidden="false" customHeight="true" outlineLevel="0" collapsed="false">
      <c r="A17" s="3" t="s">
        <v>26</v>
      </c>
      <c r="B17" s="4" t="s">
        <v>27</v>
      </c>
    </row>
    <row r="18" customFormat="false" ht="19.5" hidden="false" customHeight="true" outlineLevel="0" collapsed="false">
      <c r="A18" s="5"/>
      <c r="B18" s="6"/>
    </row>
    <row r="19" customFormat="false" ht="19.5" hidden="false" customHeight="true" outlineLevel="0" collapsed="false">
      <c r="A19" s="3" t="s">
        <v>28</v>
      </c>
      <c r="B19" s="4" t="s">
        <v>29</v>
      </c>
    </row>
    <row r="20" customFormat="false" ht="19.5" hidden="false" customHeight="true" outlineLevel="0" collapsed="false">
      <c r="A20" s="3" t="s">
        <v>30</v>
      </c>
      <c r="B20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1.5" hidden="false" customHeight="tru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</row>
    <row r="5" customFormat="false" ht="33.75" hidden="false" customHeight="true" outlineLevel="0" collapsed="false">
      <c r="A5" s="8" t="n">
        <v>1</v>
      </c>
      <c r="B5" s="9"/>
      <c r="C5" s="9"/>
      <c r="D5" s="10" t="s">
        <v>39</v>
      </c>
      <c r="E5" s="10" t="s">
        <v>40</v>
      </c>
    </row>
    <row r="6" customFormat="false" ht="33.75" hidden="false" customHeight="true" outlineLevel="0" collapsed="false">
      <c r="A6" s="8" t="n">
        <v>2</v>
      </c>
      <c r="B6" s="9"/>
      <c r="C6" s="9"/>
      <c r="D6" s="10" t="s">
        <v>41</v>
      </c>
      <c r="E6" s="10" t="s">
        <v>42</v>
      </c>
    </row>
    <row r="7" customFormat="false" ht="33.75" hidden="false" customHeight="true" outlineLevel="0" collapsed="false">
      <c r="A7" s="8" t="n">
        <v>3</v>
      </c>
      <c r="B7" s="9"/>
      <c r="C7" s="9"/>
      <c r="D7" s="10" t="s">
        <v>43</v>
      </c>
      <c r="E7" s="10" t="s">
        <v>44</v>
      </c>
    </row>
    <row r="8" customFormat="false" ht="33.75" hidden="false" customHeight="true" outlineLevel="0" collapsed="false">
      <c r="A8" s="8" t="n">
        <v>4</v>
      </c>
      <c r="B8" s="9"/>
      <c r="C8" s="9"/>
      <c r="D8" s="10" t="s">
        <v>45</v>
      </c>
      <c r="E8" s="10" t="s">
        <v>46</v>
      </c>
    </row>
    <row r="9" customFormat="false" ht="33.75" hidden="false" customHeight="true" outlineLevel="0" collapsed="false">
      <c r="A9" s="8" t="n">
        <v>5</v>
      </c>
      <c r="B9" s="9"/>
      <c r="C9" s="9"/>
      <c r="D9" s="10" t="s">
        <v>47</v>
      </c>
      <c r="E9" s="10" t="s">
        <v>48</v>
      </c>
    </row>
    <row r="10" customFormat="false" ht="33.75" hidden="false" customHeight="true" outlineLevel="0" collapsed="false">
      <c r="A10" s="8" t="n">
        <v>6</v>
      </c>
      <c r="B10" s="9"/>
      <c r="C10" s="9"/>
      <c r="D10" s="10" t="s">
        <v>49</v>
      </c>
      <c r="E10" s="10" t="s">
        <v>50</v>
      </c>
    </row>
    <row r="12" customFormat="false" ht="15" hidden="false" customHeight="false" outlineLevel="0" collapsed="false">
      <c r="A12" s="1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7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1.5" hidden="false" customHeight="true" outlineLevel="0" collapsed="false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  <c r="I4" s="7" t="s">
        <v>62</v>
      </c>
    </row>
    <row r="5" customFormat="false" ht="33.75" hidden="false" customHeight="true" outlineLevel="0" collapsed="false">
      <c r="A5" s="8" t="n">
        <v>1</v>
      </c>
      <c r="B5" s="12" t="s">
        <v>63</v>
      </c>
      <c r="C5" s="12" t="s">
        <v>64</v>
      </c>
      <c r="D5" s="10" t="s">
        <v>65</v>
      </c>
      <c r="E5" s="8" t="n">
        <v>11</v>
      </c>
      <c r="F5" s="8" t="n">
        <v>31</v>
      </c>
      <c r="G5" s="8" t="n">
        <v>72</v>
      </c>
      <c r="H5" s="13" t="n">
        <f aca="false">IF(G5=0,"",F5/G5)</f>
        <v>0.430555555555556</v>
      </c>
      <c r="I5" s="14" t="s">
        <v>66</v>
      </c>
    </row>
    <row r="6" customFormat="false" ht="33.75" hidden="false" customHeight="true" outlineLevel="0" collapsed="false">
      <c r="A6" s="8" t="n">
        <v>2</v>
      </c>
      <c r="B6" s="12" t="s">
        <v>67</v>
      </c>
      <c r="C6" s="12" t="s">
        <v>68</v>
      </c>
      <c r="D6" s="10" t="s">
        <v>69</v>
      </c>
      <c r="E6" s="8" t="n">
        <v>9</v>
      </c>
      <c r="F6" s="8" t="n">
        <v>31</v>
      </c>
      <c r="G6" s="8" t="n">
        <v>72</v>
      </c>
      <c r="H6" s="13" t="n">
        <f aca="false">IF(G6=0,"",F6/G6)</f>
        <v>0.430555555555556</v>
      </c>
      <c r="I6" s="14" t="s">
        <v>66</v>
      </c>
    </row>
    <row r="7" customFormat="false" ht="33.75" hidden="false" customHeight="true" outlineLevel="0" collapsed="false">
      <c r="A7" s="8" t="n">
        <v>3</v>
      </c>
      <c r="B7" s="12" t="s">
        <v>70</v>
      </c>
      <c r="C7" s="12" t="s">
        <v>71</v>
      </c>
      <c r="D7" s="10" t="s">
        <v>72</v>
      </c>
      <c r="E7" s="8" t="n">
        <v>11</v>
      </c>
      <c r="F7" s="8" t="n">
        <v>49</v>
      </c>
      <c r="G7" s="8" t="n">
        <v>108</v>
      </c>
      <c r="H7" s="13" t="n">
        <f aca="false">IF(G7=0,"",F7/G7)</f>
        <v>0.453703703703704</v>
      </c>
      <c r="I7" s="14" t="s">
        <v>66</v>
      </c>
    </row>
    <row r="8" customFormat="false" ht="33.75" hidden="false" customHeight="true" outlineLevel="0" collapsed="false">
      <c r="A8" s="8" t="n">
        <v>4</v>
      </c>
      <c r="B8" s="12" t="s">
        <v>73</v>
      </c>
      <c r="C8" s="12" t="s">
        <v>74</v>
      </c>
      <c r="D8" s="10" t="s">
        <v>75</v>
      </c>
      <c r="E8" s="8" t="n">
        <v>17</v>
      </c>
      <c r="F8" s="8" t="n">
        <v>77</v>
      </c>
      <c r="G8" s="8" t="n">
        <v>108</v>
      </c>
      <c r="H8" s="13" t="n">
        <f aca="false">IF(G8=0,"",F8/G8)</f>
        <v>0.712962962962963</v>
      </c>
      <c r="I8" s="14" t="s">
        <v>66</v>
      </c>
    </row>
    <row r="9" customFormat="false" ht="33.75" hidden="false" customHeight="true" outlineLevel="0" collapsed="false">
      <c r="A9" s="8" t="n">
        <v>5</v>
      </c>
      <c r="B9" s="12" t="s">
        <v>76</v>
      </c>
      <c r="C9" s="12" t="s">
        <v>77</v>
      </c>
      <c r="D9" s="10" t="s">
        <v>78</v>
      </c>
      <c r="E9" s="8" t="n">
        <v>15</v>
      </c>
      <c r="F9" s="8" t="n">
        <v>64</v>
      </c>
      <c r="G9" s="8" t="n">
        <v>72</v>
      </c>
      <c r="H9" s="13" t="n">
        <f aca="false">IF(G9=0,"",F9/G9)</f>
        <v>0.888888888888889</v>
      </c>
      <c r="I9" s="14" t="s">
        <v>66</v>
      </c>
    </row>
    <row r="10" customFormat="false" ht="33.75" hidden="false" customHeight="true" outlineLevel="0" collapsed="false">
      <c r="A10" s="8" t="n">
        <v>6</v>
      </c>
      <c r="B10" s="12" t="s">
        <v>79</v>
      </c>
      <c r="C10" s="12" t="s">
        <v>80</v>
      </c>
      <c r="D10" s="10" t="s">
        <v>81</v>
      </c>
      <c r="E10" s="8" t="n">
        <v>18</v>
      </c>
      <c r="F10" s="8" t="n">
        <v>82</v>
      </c>
      <c r="G10" s="8" t="n">
        <v>72</v>
      </c>
      <c r="H10" s="13" t="n">
        <f aca="false">IF(G10=0,"",F10/G10)</f>
        <v>1.13888888888889</v>
      </c>
      <c r="I10" s="14" t="s">
        <v>66</v>
      </c>
    </row>
    <row r="11" customFormat="false" ht="33.75" hidden="false" customHeight="true" outlineLevel="0" collapsed="false">
      <c r="A11" s="8" t="n">
        <v>7</v>
      </c>
      <c r="B11" s="12" t="s">
        <v>82</v>
      </c>
      <c r="C11" s="12" t="s">
        <v>83</v>
      </c>
      <c r="D11" s="10" t="s">
        <v>84</v>
      </c>
      <c r="E11" s="8" t="n">
        <v>7</v>
      </c>
      <c r="F11" s="8" t="n">
        <v>35</v>
      </c>
      <c r="G11" s="8" t="n">
        <v>72</v>
      </c>
      <c r="H11" s="13" t="n">
        <f aca="false">IF(G11=0,"",F11/G11)</f>
        <v>0.486111111111111</v>
      </c>
      <c r="I11" s="14" t="s">
        <v>66</v>
      </c>
    </row>
    <row r="12" customFormat="false" ht="33.75" hidden="false" customHeight="true" outlineLevel="0" collapsed="false">
      <c r="A12" s="8" t="n">
        <v>8</v>
      </c>
      <c r="B12" s="12" t="s">
        <v>85</v>
      </c>
      <c r="C12" s="12" t="s">
        <v>86</v>
      </c>
      <c r="D12" s="10" t="s">
        <v>87</v>
      </c>
      <c r="E12" s="8" t="n">
        <v>17</v>
      </c>
      <c r="F12" s="8" t="n">
        <v>66</v>
      </c>
      <c r="G12" s="8" t="n">
        <v>202</v>
      </c>
      <c r="H12" s="13" t="n">
        <f aca="false">IF(G12=0,"",F12/G12)</f>
        <v>0.326732673267327</v>
      </c>
      <c r="I12" s="14" t="s">
        <v>88</v>
      </c>
    </row>
    <row r="13" customFormat="false" ht="15" hidden="false" customHeight="false" outlineLevel="0" collapsed="false">
      <c r="B13" s="3" t="s">
        <v>89</v>
      </c>
      <c r="E13" s="15" t="n">
        <f aca="false">SUM(E5:E12)</f>
        <v>105</v>
      </c>
      <c r="F13" s="15" t="n">
        <f aca="false">SUM(F5:F12)</f>
        <v>435</v>
      </c>
      <c r="G13" s="15" t="n">
        <f aca="false">SUM(G5:G12)</f>
        <v>778</v>
      </c>
      <c r="H13" s="13" t="n">
        <f aca="false">IF(G13=0,"",F13/G13)</f>
        <v>0.559125964010283</v>
      </c>
    </row>
    <row r="15" customFormat="false" ht="15" hidden="false" customHeight="false" outlineLevel="0" collapsed="false">
      <c r="B15" s="16" t="s">
        <v>90</v>
      </c>
    </row>
    <row r="16" customFormat="false" ht="15" hidden="false" customHeight="false" outlineLevel="0" collapsed="false">
      <c r="B16" s="5" t="s">
        <v>91</v>
      </c>
    </row>
    <row r="17" customFormat="false" ht="15" hidden="false" customHeight="false" outlineLevel="0" collapsed="false">
      <c r="B17" s="5" t="s">
        <v>92</v>
      </c>
    </row>
    <row r="19" customFormat="false" ht="15" hidden="false" customHeight="false" outlineLevel="0" collapsed="false">
      <c r="B19" s="16" t="s">
        <v>93</v>
      </c>
    </row>
    <row r="20" customFormat="false" ht="15" hidden="false" customHeight="false" outlineLevel="0" collapsed="false">
      <c r="B20" s="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7.15" hidden="false" customHeight="false" outlineLevel="0" collapsed="false">
      <c r="A1" s="1" t="s">
        <v>95</v>
      </c>
    </row>
    <row r="4" customFormat="false" ht="31.5" hidden="false" customHeight="true" outlineLevel="0" collapsed="false">
      <c r="A4" s="7" t="s">
        <v>96</v>
      </c>
      <c r="B4" s="7" t="s">
        <v>97</v>
      </c>
      <c r="C4" s="7" t="s">
        <v>98</v>
      </c>
      <c r="D4" s="7" t="s">
        <v>99</v>
      </c>
      <c r="E4" s="7" t="s">
        <v>100</v>
      </c>
      <c r="F4" s="7" t="s">
        <v>62</v>
      </c>
    </row>
    <row r="5" customFormat="false" ht="24" hidden="false" customHeight="true" outlineLevel="0" collapsed="false">
      <c r="A5" s="8" t="s">
        <v>101</v>
      </c>
      <c r="B5" s="12" t="s">
        <v>102</v>
      </c>
      <c r="C5" s="10" t="s">
        <v>103</v>
      </c>
      <c r="D5" s="12" t="s">
        <v>104</v>
      </c>
      <c r="E5" s="8" t="s">
        <v>105</v>
      </c>
      <c r="F5" s="8" t="s">
        <v>106</v>
      </c>
    </row>
    <row r="6" customFormat="false" ht="24" hidden="false" customHeight="true" outlineLevel="0" collapsed="false">
      <c r="A6" s="8" t="s">
        <v>107</v>
      </c>
      <c r="B6" s="12" t="s">
        <v>108</v>
      </c>
      <c r="C6" s="10" t="s">
        <v>109</v>
      </c>
      <c r="D6" s="12" t="s">
        <v>110</v>
      </c>
      <c r="E6" s="8" t="s">
        <v>105</v>
      </c>
      <c r="F6" s="8" t="s">
        <v>106</v>
      </c>
    </row>
    <row r="7" customFormat="false" ht="24" hidden="false" customHeight="true" outlineLevel="0" collapsed="false">
      <c r="A7" s="8" t="s">
        <v>111</v>
      </c>
      <c r="B7" s="12" t="s">
        <v>108</v>
      </c>
      <c r="C7" s="10" t="s">
        <v>112</v>
      </c>
      <c r="D7" s="12" t="s">
        <v>113</v>
      </c>
      <c r="E7" s="8" t="s">
        <v>105</v>
      </c>
      <c r="F7" s="8" t="s">
        <v>106</v>
      </c>
    </row>
    <row r="8" customFormat="false" ht="24" hidden="false" customHeight="true" outlineLevel="0" collapsed="false">
      <c r="A8" s="8" t="s">
        <v>114</v>
      </c>
      <c r="B8" s="12" t="s">
        <v>115</v>
      </c>
      <c r="C8" s="10" t="s">
        <v>116</v>
      </c>
      <c r="D8" s="12" t="s">
        <v>117</v>
      </c>
      <c r="E8" s="8" t="s">
        <v>101</v>
      </c>
      <c r="F8" s="8" t="s">
        <v>106</v>
      </c>
    </row>
    <row r="9" customFormat="false" ht="24" hidden="false" customHeight="true" outlineLevel="0" collapsed="false">
      <c r="A9" s="8" t="s">
        <v>118</v>
      </c>
      <c r="B9" s="12" t="s">
        <v>119</v>
      </c>
      <c r="C9" s="10" t="s">
        <v>120</v>
      </c>
      <c r="D9" s="12" t="s">
        <v>121</v>
      </c>
      <c r="E9" s="8" t="s">
        <v>107</v>
      </c>
      <c r="F9" s="8" t="s">
        <v>106</v>
      </c>
    </row>
    <row r="10" customFormat="false" ht="24" hidden="false" customHeight="true" outlineLevel="0" collapsed="false">
      <c r="A10" s="8" t="s">
        <v>122</v>
      </c>
      <c r="B10" s="12" t="s">
        <v>123</v>
      </c>
      <c r="C10" s="10" t="s">
        <v>124</v>
      </c>
      <c r="D10" s="12" t="s">
        <v>125</v>
      </c>
      <c r="E10" s="8" t="s">
        <v>111</v>
      </c>
      <c r="F10" s="8" t="s">
        <v>106</v>
      </c>
    </row>
    <row r="11" customFormat="false" ht="24" hidden="false" customHeight="true" outlineLevel="0" collapsed="false">
      <c r="A11" s="8" t="s">
        <v>126</v>
      </c>
      <c r="B11" s="12" t="s">
        <v>127</v>
      </c>
      <c r="C11" s="10" t="s">
        <v>128</v>
      </c>
      <c r="D11" s="12" t="s">
        <v>129</v>
      </c>
      <c r="E11" s="8" t="s">
        <v>114</v>
      </c>
      <c r="F11" s="8" t="s">
        <v>106</v>
      </c>
    </row>
    <row r="12" customFormat="false" ht="24" hidden="false" customHeight="true" outlineLevel="0" collapsed="false">
      <c r="A12" s="8" t="s">
        <v>130</v>
      </c>
      <c r="B12" s="12" t="s">
        <v>131</v>
      </c>
      <c r="C12" s="10" t="s">
        <v>132</v>
      </c>
      <c r="D12" s="12" t="s">
        <v>133</v>
      </c>
      <c r="E12" s="8" t="s">
        <v>118</v>
      </c>
      <c r="F12" s="8" t="s">
        <v>106</v>
      </c>
    </row>
    <row r="13" customFormat="false" ht="24" hidden="false" customHeight="true" outlineLevel="0" collapsed="false">
      <c r="A13" s="8" t="s">
        <v>5</v>
      </c>
      <c r="B13" s="12" t="s">
        <v>134</v>
      </c>
      <c r="C13" s="10" t="s">
        <v>135</v>
      </c>
      <c r="D13" s="12" t="s">
        <v>136</v>
      </c>
      <c r="E13" s="8" t="s">
        <v>137</v>
      </c>
      <c r="F13" s="8" t="s">
        <v>106</v>
      </c>
    </row>
    <row r="14" customFormat="false" ht="24" hidden="false" customHeight="true" outlineLevel="0" collapsed="false">
      <c r="A14" s="8" t="s">
        <v>138</v>
      </c>
      <c r="B14" s="12" t="s">
        <v>139</v>
      </c>
      <c r="C14" s="10" t="s">
        <v>140</v>
      </c>
      <c r="D14" s="12" t="s">
        <v>141</v>
      </c>
      <c r="E14" s="8" t="s">
        <v>122</v>
      </c>
      <c r="F14" s="8" t="s">
        <v>142</v>
      </c>
    </row>
    <row r="15" customFormat="false" ht="24" hidden="false" customHeight="true" outlineLevel="0" collapsed="false">
      <c r="A15" s="8" t="s">
        <v>141</v>
      </c>
      <c r="B15" s="12" t="s">
        <v>143</v>
      </c>
      <c r="C15" s="10" t="s">
        <v>144</v>
      </c>
      <c r="D15" s="12" t="s">
        <v>145</v>
      </c>
      <c r="E15" s="8" t="s">
        <v>126</v>
      </c>
      <c r="F15" s="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22"/>
  </cols>
  <sheetData>
    <row r="1" customFormat="false" ht="17.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31.5" hidden="false" customHeight="true" outlineLevel="0" collapsed="false">
      <c r="A4" s="7" t="s">
        <v>148</v>
      </c>
      <c r="B4" s="7" t="s">
        <v>149</v>
      </c>
      <c r="C4" s="7" t="s">
        <v>150</v>
      </c>
      <c r="D4" s="7" t="s">
        <v>151</v>
      </c>
    </row>
    <row r="5" customFormat="false" ht="31.5" hidden="false" customHeight="true" outlineLevel="0" collapsed="false">
      <c r="A5" s="8" t="s">
        <v>152</v>
      </c>
      <c r="B5" s="10" t="s">
        <v>153</v>
      </c>
      <c r="C5" s="10" t="s">
        <v>154</v>
      </c>
      <c r="D5" s="8" t="s">
        <v>155</v>
      </c>
    </row>
    <row r="6" customFormat="false" ht="31.5" hidden="false" customHeight="true" outlineLevel="0" collapsed="false">
      <c r="A6" s="8" t="s">
        <v>156</v>
      </c>
      <c r="B6" s="10" t="s">
        <v>157</v>
      </c>
      <c r="C6" s="10" t="s">
        <v>158</v>
      </c>
      <c r="D6" s="8" t="s">
        <v>159</v>
      </c>
    </row>
    <row r="7" customFormat="false" ht="31.5" hidden="false" customHeight="true" outlineLevel="0" collapsed="false">
      <c r="A7" s="8" t="s">
        <v>160</v>
      </c>
      <c r="B7" s="10" t="s">
        <v>161</v>
      </c>
      <c r="C7" s="10" t="s">
        <v>162</v>
      </c>
      <c r="D7" s="8" t="s">
        <v>163</v>
      </c>
    </row>
    <row r="8" customFormat="false" ht="31.5" hidden="false" customHeight="true" outlineLevel="0" collapsed="false">
      <c r="A8" s="8" t="s">
        <v>164</v>
      </c>
      <c r="B8" s="10" t="s">
        <v>165</v>
      </c>
      <c r="C8" s="10" t="s">
        <v>166</v>
      </c>
      <c r="D8" s="8" t="s">
        <v>111</v>
      </c>
    </row>
    <row r="9" customFormat="false" ht="31.5" hidden="false" customHeight="true" outlineLevel="0" collapsed="false">
      <c r="A9" s="8" t="s">
        <v>167</v>
      </c>
      <c r="B9" s="10" t="s">
        <v>168</v>
      </c>
      <c r="C9" s="10" t="s">
        <v>169</v>
      </c>
      <c r="D9" s="8" t="s">
        <v>170</v>
      </c>
    </row>
    <row r="10" customFormat="false" ht="31.5" hidden="false" customHeight="true" outlineLevel="0" collapsed="false">
      <c r="A10" s="8" t="s">
        <v>171</v>
      </c>
      <c r="B10" s="10" t="s">
        <v>172</v>
      </c>
      <c r="C10" s="10" t="s">
        <v>173</v>
      </c>
      <c r="D10" s="8" t="s">
        <v>114</v>
      </c>
    </row>
    <row r="11" customFormat="false" ht="31.5" hidden="false" customHeight="true" outlineLevel="0" collapsed="false">
      <c r="A11" s="8" t="s">
        <v>174</v>
      </c>
      <c r="B11" s="10" t="s">
        <v>175</v>
      </c>
      <c r="C11" s="10" t="s">
        <v>176</v>
      </c>
      <c r="D11" s="8" t="s">
        <v>177</v>
      </c>
    </row>
    <row r="12" customFormat="false" ht="31.5" hidden="false" customHeight="true" outlineLevel="0" collapsed="false">
      <c r="A12" s="8" t="s">
        <v>178</v>
      </c>
      <c r="B12" s="10" t="s">
        <v>179</v>
      </c>
      <c r="C12" s="10" t="s">
        <v>180</v>
      </c>
      <c r="D12" s="8" t="s">
        <v>118</v>
      </c>
    </row>
    <row r="13" customFormat="false" ht="31.5" hidden="false" customHeight="true" outlineLevel="0" collapsed="false">
      <c r="A13" s="8" t="s">
        <v>181</v>
      </c>
      <c r="B13" s="10" t="s">
        <v>182</v>
      </c>
      <c r="C13" s="10" t="s">
        <v>183</v>
      </c>
      <c r="D13" s="8" t="s">
        <v>184</v>
      </c>
    </row>
    <row r="14" customFormat="false" ht="31.5" hidden="false" customHeight="true" outlineLevel="0" collapsed="false">
      <c r="A14" s="8" t="s">
        <v>185</v>
      </c>
      <c r="B14" s="10" t="s">
        <v>186</v>
      </c>
      <c r="C14" s="10" t="s">
        <v>187</v>
      </c>
      <c r="D14" s="8" t="s">
        <v>184</v>
      </c>
    </row>
    <row r="15" customFormat="false" ht="31.5" hidden="false" customHeight="true" outlineLevel="0" collapsed="false">
      <c r="A15" s="8" t="s">
        <v>188</v>
      </c>
      <c r="B15" s="10" t="s">
        <v>189</v>
      </c>
      <c r="C15" s="10" t="s">
        <v>190</v>
      </c>
      <c r="D15" s="8" t="s">
        <v>170</v>
      </c>
    </row>
    <row r="16" customFormat="false" ht="31.5" hidden="false" customHeight="true" outlineLevel="0" collapsed="false">
      <c r="A16" s="8" t="s">
        <v>191</v>
      </c>
      <c r="B16" s="10" t="s">
        <v>192</v>
      </c>
      <c r="C16" s="10" t="s">
        <v>193</v>
      </c>
      <c r="D16" s="8" t="s">
        <v>194</v>
      </c>
    </row>
    <row r="19" customFormat="false" ht="15" hidden="false" customHeight="false" outlineLevel="0" collapsed="false">
      <c r="A19" s="17" t="s">
        <v>195</v>
      </c>
    </row>
    <row r="20" customFormat="false" ht="15" hidden="false" customHeight="false" outlineLevel="0" collapsed="false">
      <c r="A20" s="5" t="s">
        <v>196</v>
      </c>
      <c r="B20" s="16" t="s">
        <v>138</v>
      </c>
    </row>
    <row r="21" customFormat="false" ht="15" hidden="false" customHeight="false" outlineLevel="0" collapsed="false">
      <c r="A21" s="5" t="s">
        <v>197</v>
      </c>
      <c r="B21" s="16" t="s">
        <v>198</v>
      </c>
    </row>
    <row r="22" customFormat="false" ht="15" hidden="false" customHeight="false" outlineLevel="0" collapsed="false">
      <c r="A22" s="5" t="s">
        <v>199</v>
      </c>
      <c r="B22" s="16" t="s">
        <v>200</v>
      </c>
    </row>
    <row r="23" customFormat="false" ht="15" hidden="false" customHeight="false" outlineLevel="0" collapsed="false">
      <c r="A23" s="5" t="s">
        <v>201</v>
      </c>
      <c r="B23" s="16" t="s">
        <v>202</v>
      </c>
    </row>
    <row r="24" customFormat="false" ht="15" hidden="false" customHeight="false" outlineLevel="0" collapsed="false">
      <c r="A24" s="5" t="s">
        <v>203</v>
      </c>
      <c r="B24" s="16" t="s">
        <v>204</v>
      </c>
    </row>
    <row r="25" customFormat="false" ht="15" hidden="false" customHeight="false" outlineLevel="0" collapsed="false">
      <c r="A25" s="5" t="s">
        <v>205</v>
      </c>
      <c r="B25" s="16" t="s">
        <v>206</v>
      </c>
    </row>
    <row r="26" customFormat="false" ht="15" hidden="false" customHeight="false" outlineLevel="0" collapsed="false">
      <c r="A26" s="5" t="s">
        <v>207</v>
      </c>
      <c r="B26" s="16" t="s">
        <v>5</v>
      </c>
    </row>
    <row r="27" customFormat="false" ht="15" hidden="false" customHeight="false" outlineLevel="0" collapsed="false">
      <c r="A27" s="5" t="s">
        <v>208</v>
      </c>
      <c r="B27" s="16" t="s">
        <v>138</v>
      </c>
    </row>
    <row r="29" customFormat="false" ht="15" hidden="false" customHeight="false" outlineLevel="0" collapsed="false">
      <c r="A29" s="18" t="s">
        <v>209</v>
      </c>
    </row>
    <row r="30" customFormat="false" ht="15" hidden="false" customHeight="false" outlineLevel="0" collapsed="false">
      <c r="A30" s="18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56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211</v>
      </c>
    </row>
    <row r="4" customFormat="false" ht="31.5" hidden="false" customHeight="true" outlineLevel="0" collapsed="false">
      <c r="A4" s="7" t="s">
        <v>212</v>
      </c>
      <c r="B4" s="7" t="s">
        <v>213</v>
      </c>
      <c r="C4" s="7" t="s">
        <v>214</v>
      </c>
      <c r="D4" s="7" t="s">
        <v>215</v>
      </c>
      <c r="E4" s="7" t="s">
        <v>216</v>
      </c>
      <c r="F4" s="7" t="s">
        <v>217</v>
      </c>
    </row>
    <row r="5" customFormat="false" ht="43.5" hidden="false" customHeight="true" outlineLevel="0" collapsed="false">
      <c r="A5" s="8" t="s">
        <v>218</v>
      </c>
      <c r="B5" s="10" t="s">
        <v>219</v>
      </c>
      <c r="C5" s="8" t="s">
        <v>220</v>
      </c>
      <c r="D5" s="8" t="s">
        <v>220</v>
      </c>
      <c r="E5" s="10" t="s">
        <v>221</v>
      </c>
      <c r="F5" s="10" t="s">
        <v>222</v>
      </c>
    </row>
    <row r="6" customFormat="false" ht="43.5" hidden="false" customHeight="true" outlineLevel="0" collapsed="false">
      <c r="A6" s="8" t="s">
        <v>223</v>
      </c>
      <c r="B6" s="10" t="s">
        <v>224</v>
      </c>
      <c r="C6" s="8" t="s">
        <v>220</v>
      </c>
      <c r="D6" s="8" t="s">
        <v>225</v>
      </c>
      <c r="E6" s="10" t="s">
        <v>226</v>
      </c>
      <c r="F6" s="10" t="s">
        <v>227</v>
      </c>
    </row>
    <row r="7" customFormat="false" ht="43.5" hidden="false" customHeight="true" outlineLevel="0" collapsed="false">
      <c r="A7" s="8" t="s">
        <v>228</v>
      </c>
      <c r="B7" s="10" t="s">
        <v>229</v>
      </c>
      <c r="C7" s="8" t="s">
        <v>225</v>
      </c>
      <c r="D7" s="8" t="s">
        <v>220</v>
      </c>
      <c r="E7" s="10" t="s">
        <v>230</v>
      </c>
      <c r="F7" s="10" t="s">
        <v>231</v>
      </c>
    </row>
    <row r="8" customFormat="false" ht="43.5" hidden="false" customHeight="true" outlineLevel="0" collapsed="false">
      <c r="A8" s="8" t="s">
        <v>232</v>
      </c>
      <c r="B8" s="10" t="s">
        <v>233</v>
      </c>
      <c r="C8" s="8" t="s">
        <v>225</v>
      </c>
      <c r="D8" s="8" t="s">
        <v>225</v>
      </c>
      <c r="E8" s="10" t="s">
        <v>234</v>
      </c>
      <c r="F8" s="10" t="s">
        <v>235</v>
      </c>
    </row>
    <row r="9" customFormat="false" ht="43.5" hidden="false" customHeight="true" outlineLevel="0" collapsed="false">
      <c r="A9" s="8" t="s">
        <v>236</v>
      </c>
      <c r="B9" s="10" t="s">
        <v>237</v>
      </c>
      <c r="C9" s="8" t="s">
        <v>220</v>
      </c>
      <c r="D9" s="8" t="s">
        <v>225</v>
      </c>
      <c r="E9" s="10" t="s">
        <v>238</v>
      </c>
      <c r="F9" s="10" t="s">
        <v>239</v>
      </c>
    </row>
    <row r="10" customFormat="false" ht="43.5" hidden="false" customHeight="true" outlineLevel="0" collapsed="false">
      <c r="A10" s="8" t="s">
        <v>240</v>
      </c>
      <c r="B10" s="10" t="s">
        <v>241</v>
      </c>
      <c r="C10" s="8" t="s">
        <v>225</v>
      </c>
      <c r="D10" s="8" t="s">
        <v>220</v>
      </c>
      <c r="E10" s="10" t="s">
        <v>242</v>
      </c>
      <c r="F10" s="10" t="s">
        <v>243</v>
      </c>
    </row>
    <row r="11" customFormat="false" ht="43.5" hidden="false" customHeight="true" outlineLevel="0" collapsed="false">
      <c r="A11" s="8" t="s">
        <v>244</v>
      </c>
      <c r="B11" s="10" t="s">
        <v>245</v>
      </c>
      <c r="C11" s="8" t="s">
        <v>225</v>
      </c>
      <c r="D11" s="8" t="s">
        <v>220</v>
      </c>
      <c r="E11" s="10" t="s">
        <v>246</v>
      </c>
      <c r="F11" s="10" t="s">
        <v>247</v>
      </c>
    </row>
    <row r="12" customFormat="false" ht="43.5" hidden="false" customHeight="true" outlineLevel="0" collapsed="false">
      <c r="A12" s="8" t="s">
        <v>248</v>
      </c>
      <c r="B12" s="10" t="s">
        <v>249</v>
      </c>
      <c r="C12" s="8" t="s">
        <v>220</v>
      </c>
      <c r="D12" s="8" t="s">
        <v>225</v>
      </c>
      <c r="E12" s="10" t="s">
        <v>250</v>
      </c>
      <c r="F12" s="1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2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31.5" hidden="false" customHeight="true" outlineLevel="0" collapsed="false">
      <c r="A4" s="7" t="s">
        <v>254</v>
      </c>
      <c r="B4" s="7" t="s">
        <v>255</v>
      </c>
      <c r="C4" s="7" t="s">
        <v>256</v>
      </c>
    </row>
    <row r="5" customFormat="false" ht="30" hidden="false" customHeight="true" outlineLevel="0" collapsed="false">
      <c r="A5" s="8" t="n">
        <v>1</v>
      </c>
      <c r="B5" s="10" t="s">
        <v>257</v>
      </c>
      <c r="C5" s="10" t="s">
        <v>258</v>
      </c>
    </row>
    <row r="6" customFormat="false" ht="30" hidden="false" customHeight="true" outlineLevel="0" collapsed="false">
      <c r="A6" s="8" t="n">
        <v>2</v>
      </c>
      <c r="B6" s="10" t="s">
        <v>259</v>
      </c>
      <c r="C6" s="10" t="s">
        <v>260</v>
      </c>
    </row>
    <row r="7" customFormat="false" ht="30" hidden="false" customHeight="true" outlineLevel="0" collapsed="false">
      <c r="A7" s="8" t="n">
        <v>3</v>
      </c>
      <c r="B7" s="10" t="s">
        <v>261</v>
      </c>
      <c r="C7" s="10" t="s">
        <v>262</v>
      </c>
    </row>
    <row r="8" customFormat="false" ht="30" hidden="false" customHeight="true" outlineLevel="0" collapsed="false">
      <c r="A8" s="8" t="n">
        <v>4</v>
      </c>
      <c r="B8" s="10" t="s">
        <v>263</v>
      </c>
      <c r="C8" s="10" t="s">
        <v>264</v>
      </c>
    </row>
    <row r="9" customFormat="false" ht="30" hidden="false" customHeight="true" outlineLevel="0" collapsed="false">
      <c r="A9" s="8" t="n">
        <v>5</v>
      </c>
      <c r="B9" s="10" t="s">
        <v>265</v>
      </c>
      <c r="C9" s="10" t="s">
        <v>266</v>
      </c>
    </row>
    <row r="10" customFormat="false" ht="30" hidden="false" customHeight="true" outlineLevel="0" collapsed="false">
      <c r="A10" s="8" t="n">
        <v>6</v>
      </c>
      <c r="B10" s="10" t="s">
        <v>267</v>
      </c>
      <c r="C10" s="10" t="s">
        <v>268</v>
      </c>
    </row>
    <row r="11" customFormat="false" ht="30" hidden="false" customHeight="true" outlineLevel="0" collapsed="false">
      <c r="A11" s="8" t="n">
        <v>7</v>
      </c>
      <c r="B11" s="10" t="s">
        <v>269</v>
      </c>
      <c r="C11" s="10" t="s">
        <v>270</v>
      </c>
    </row>
    <row r="12" customFormat="false" ht="30" hidden="false" customHeight="true" outlineLevel="0" collapsed="false">
      <c r="A12" s="8" t="n">
        <v>8</v>
      </c>
      <c r="B12" s="10" t="s">
        <v>271</v>
      </c>
      <c r="C12" s="10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273</v>
      </c>
    </row>
    <row r="4" customFormat="false" ht="31.5" hidden="false" customHeight="true" outlineLevel="0" collapsed="false">
      <c r="A4" s="7" t="s">
        <v>274</v>
      </c>
      <c r="B4" s="7" t="s">
        <v>275</v>
      </c>
    </row>
    <row r="5" customFormat="false" ht="30" hidden="false" customHeight="true" outlineLevel="0" collapsed="false">
      <c r="A5" s="12" t="s">
        <v>276</v>
      </c>
      <c r="B5" s="10" t="s">
        <v>277</v>
      </c>
    </row>
    <row r="6" customFormat="false" ht="30" hidden="false" customHeight="true" outlineLevel="0" collapsed="false">
      <c r="A6" s="12" t="s">
        <v>278</v>
      </c>
      <c r="B6" s="10" t="s">
        <v>279</v>
      </c>
    </row>
    <row r="7" customFormat="false" ht="30" hidden="false" customHeight="true" outlineLevel="0" collapsed="false">
      <c r="A7" s="12" t="s">
        <v>280</v>
      </c>
      <c r="B7" s="10" t="s">
        <v>281</v>
      </c>
    </row>
    <row r="8" customFormat="false" ht="30" hidden="false" customHeight="true" outlineLevel="0" collapsed="false">
      <c r="A8" s="12" t="s">
        <v>282</v>
      </c>
      <c r="B8" s="10" t="s">
        <v>283</v>
      </c>
    </row>
    <row r="9" customFormat="false" ht="30" hidden="false" customHeight="true" outlineLevel="0" collapsed="false">
      <c r="A9" s="12" t="s">
        <v>284</v>
      </c>
      <c r="B9" s="10" t="s">
        <v>285</v>
      </c>
    </row>
    <row r="10" customFormat="false" ht="30" hidden="false" customHeight="true" outlineLevel="0" collapsed="false">
      <c r="A10" s="12" t="s">
        <v>286</v>
      </c>
      <c r="B10" s="10" t="s">
        <v>287</v>
      </c>
    </row>
    <row r="11" customFormat="false" ht="30" hidden="false" customHeight="true" outlineLevel="0" collapsed="false">
      <c r="A11" s="12" t="s">
        <v>288</v>
      </c>
      <c r="B11" s="10" t="s">
        <v>289</v>
      </c>
    </row>
    <row r="12" customFormat="false" ht="30" hidden="false" customHeight="true" outlineLevel="0" collapsed="false">
      <c r="A12" s="12" t="s">
        <v>290</v>
      </c>
      <c r="B12" s="10" t="s">
        <v>291</v>
      </c>
    </row>
    <row r="13" customFormat="false" ht="30" hidden="false" customHeight="true" outlineLevel="0" collapsed="false">
      <c r="A13" s="12" t="s">
        <v>292</v>
      </c>
      <c r="B13" s="10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7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9" min="8" style="0" width="14"/>
  </cols>
  <sheetData>
    <row r="1" customFormat="false" ht="17.1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4" customFormat="false" ht="31.5" hidden="false" customHeight="true" outlineLevel="0" collapsed="false">
      <c r="A4" s="7" t="s">
        <v>34</v>
      </c>
      <c r="B4" s="7" t="s">
        <v>212</v>
      </c>
      <c r="C4" s="7" t="s">
        <v>296</v>
      </c>
      <c r="D4" s="7" t="s">
        <v>297</v>
      </c>
      <c r="E4" s="7" t="s">
        <v>298</v>
      </c>
      <c r="F4" s="7" t="s">
        <v>62</v>
      </c>
      <c r="G4" s="7" t="s">
        <v>54</v>
      </c>
      <c r="H4" s="7" t="s">
        <v>299</v>
      </c>
      <c r="I4" s="7" t="s">
        <v>300</v>
      </c>
    </row>
    <row r="5" customFormat="false" ht="25.5" hidden="false" customHeight="true" outlineLevel="0" collapsed="false">
      <c r="A5" s="19" t="n">
        <v>1</v>
      </c>
      <c r="B5" s="19" t="s">
        <v>152</v>
      </c>
      <c r="C5" s="20" t="s">
        <v>196</v>
      </c>
      <c r="D5" s="21"/>
      <c r="E5" s="21" t="s">
        <v>153</v>
      </c>
      <c r="F5" s="22" t="s">
        <v>301</v>
      </c>
      <c r="G5" s="21" t="s">
        <v>141</v>
      </c>
      <c r="H5" s="19" t="s">
        <v>302</v>
      </c>
      <c r="I5" s="19" t="s">
        <v>303</v>
      </c>
    </row>
    <row r="6" customFormat="false" ht="25.5" hidden="false" customHeight="true" outlineLevel="0" collapsed="false">
      <c r="A6" s="19" t="n">
        <v>2</v>
      </c>
      <c r="B6" s="19" t="s">
        <v>156</v>
      </c>
      <c r="C6" s="20" t="s">
        <v>196</v>
      </c>
      <c r="D6" s="21"/>
      <c r="E6" s="21" t="s">
        <v>157</v>
      </c>
      <c r="F6" s="22" t="s">
        <v>301</v>
      </c>
      <c r="G6" s="21" t="s">
        <v>141</v>
      </c>
      <c r="H6" s="19" t="s">
        <v>304</v>
      </c>
      <c r="I6" s="19" t="s">
        <v>305</v>
      </c>
    </row>
    <row r="7" customFormat="false" ht="25.5" hidden="false" customHeight="true" outlineLevel="0" collapsed="false">
      <c r="A7" s="19" t="n">
        <v>3</v>
      </c>
      <c r="B7" s="19" t="s">
        <v>160</v>
      </c>
      <c r="C7" s="20" t="s">
        <v>196</v>
      </c>
      <c r="D7" s="21"/>
      <c r="E7" s="21" t="s">
        <v>161</v>
      </c>
      <c r="F7" s="22" t="s">
        <v>301</v>
      </c>
      <c r="G7" s="21" t="s">
        <v>141</v>
      </c>
      <c r="H7" s="19" t="s">
        <v>306</v>
      </c>
      <c r="I7" s="19" t="s">
        <v>303</v>
      </c>
    </row>
    <row r="8" customFormat="false" ht="25.5" hidden="false" customHeight="true" outlineLevel="0" collapsed="false">
      <c r="A8" s="19" t="n">
        <v>4</v>
      </c>
      <c r="B8" s="19" t="s">
        <v>164</v>
      </c>
      <c r="C8" s="20" t="s">
        <v>196</v>
      </c>
      <c r="D8" s="21"/>
      <c r="E8" s="21" t="s">
        <v>165</v>
      </c>
      <c r="F8" s="22" t="s">
        <v>301</v>
      </c>
      <c r="G8" s="21" t="s">
        <v>141</v>
      </c>
      <c r="H8" s="19" t="s">
        <v>306</v>
      </c>
      <c r="I8" s="19" t="s">
        <v>303</v>
      </c>
    </row>
    <row r="9" customFormat="false" ht="25.5" hidden="false" customHeight="true" outlineLevel="0" collapsed="false">
      <c r="A9" s="19" t="n">
        <v>5</v>
      </c>
      <c r="B9" s="19" t="s">
        <v>167</v>
      </c>
      <c r="C9" s="20" t="s">
        <v>196</v>
      </c>
      <c r="D9" s="21"/>
      <c r="E9" s="21" t="s">
        <v>168</v>
      </c>
      <c r="F9" s="22" t="s">
        <v>301</v>
      </c>
      <c r="G9" s="21" t="s">
        <v>141</v>
      </c>
      <c r="H9" s="19" t="s">
        <v>307</v>
      </c>
      <c r="I9" s="19" t="s">
        <v>308</v>
      </c>
    </row>
    <row r="10" customFormat="false" ht="25.5" hidden="false" customHeight="true" outlineLevel="0" collapsed="false">
      <c r="A10" s="19" t="n">
        <v>6</v>
      </c>
      <c r="B10" s="19" t="s">
        <v>171</v>
      </c>
      <c r="C10" s="20" t="s">
        <v>196</v>
      </c>
      <c r="D10" s="21"/>
      <c r="E10" s="21" t="s">
        <v>172</v>
      </c>
      <c r="F10" s="22" t="s">
        <v>301</v>
      </c>
      <c r="G10" s="21" t="s">
        <v>141</v>
      </c>
      <c r="H10" s="19" t="s">
        <v>307</v>
      </c>
      <c r="I10" s="19" t="s">
        <v>308</v>
      </c>
    </row>
    <row r="11" customFormat="false" ht="25.5" hidden="false" customHeight="true" outlineLevel="0" collapsed="false">
      <c r="A11" s="19" t="n">
        <v>7</v>
      </c>
      <c r="B11" s="19" t="s">
        <v>174</v>
      </c>
      <c r="C11" s="20" t="s">
        <v>196</v>
      </c>
      <c r="D11" s="21"/>
      <c r="E11" s="21" t="s">
        <v>175</v>
      </c>
      <c r="F11" s="22" t="s">
        <v>301</v>
      </c>
      <c r="G11" s="21" t="s">
        <v>141</v>
      </c>
      <c r="H11" s="19" t="s">
        <v>307</v>
      </c>
      <c r="I11" s="19" t="s">
        <v>309</v>
      </c>
    </row>
    <row r="12" customFormat="false" ht="25.5" hidden="false" customHeight="true" outlineLevel="0" collapsed="false">
      <c r="A12" s="19" t="n">
        <v>8</v>
      </c>
      <c r="B12" s="19" t="s">
        <v>178</v>
      </c>
      <c r="C12" s="20" t="s">
        <v>196</v>
      </c>
      <c r="D12" s="21"/>
      <c r="E12" s="21" t="s">
        <v>179</v>
      </c>
      <c r="F12" s="22" t="s">
        <v>301</v>
      </c>
      <c r="G12" s="21" t="s">
        <v>141</v>
      </c>
      <c r="H12" s="19" t="s">
        <v>310</v>
      </c>
      <c r="I12" s="19" t="s">
        <v>309</v>
      </c>
    </row>
    <row r="13" customFormat="false" ht="25.5" hidden="false" customHeight="true" outlineLevel="0" collapsed="false">
      <c r="A13" s="19" t="n">
        <v>9</v>
      </c>
      <c r="B13" s="19" t="s">
        <v>181</v>
      </c>
      <c r="C13" s="20" t="s">
        <v>196</v>
      </c>
      <c r="D13" s="21"/>
      <c r="E13" s="21" t="s">
        <v>182</v>
      </c>
      <c r="F13" s="22" t="s">
        <v>301</v>
      </c>
      <c r="G13" s="21" t="s">
        <v>141</v>
      </c>
      <c r="H13" s="19" t="s">
        <v>310</v>
      </c>
      <c r="I13" s="19" t="s">
        <v>309</v>
      </c>
    </row>
    <row r="14" customFormat="false" ht="25.5" hidden="false" customHeight="true" outlineLevel="0" collapsed="false">
      <c r="A14" s="19" t="n">
        <v>10</v>
      </c>
      <c r="B14" s="19" t="s">
        <v>185</v>
      </c>
      <c r="C14" s="20" t="s">
        <v>196</v>
      </c>
      <c r="D14" s="21"/>
      <c r="E14" s="21" t="s">
        <v>186</v>
      </c>
      <c r="F14" s="22" t="s">
        <v>301</v>
      </c>
      <c r="G14" s="21" t="s">
        <v>141</v>
      </c>
      <c r="H14" s="19" t="s">
        <v>310</v>
      </c>
      <c r="I14" s="19" t="s">
        <v>309</v>
      </c>
    </row>
    <row r="15" customFormat="false" ht="25.5" hidden="false" customHeight="true" outlineLevel="0" collapsed="false">
      <c r="A15" s="19" t="n">
        <v>11</v>
      </c>
      <c r="B15" s="19" t="s">
        <v>188</v>
      </c>
      <c r="C15" s="20" t="s">
        <v>196</v>
      </c>
      <c r="D15" s="21"/>
      <c r="E15" s="21" t="s">
        <v>189</v>
      </c>
      <c r="F15" s="22" t="s">
        <v>301</v>
      </c>
      <c r="G15" s="21" t="s">
        <v>141</v>
      </c>
      <c r="H15" s="19" t="s">
        <v>307</v>
      </c>
      <c r="I15" s="19" t="s">
        <v>303</v>
      </c>
    </row>
    <row r="16" customFormat="false" ht="25.5" hidden="false" customHeight="true" outlineLevel="0" collapsed="false">
      <c r="A16" s="19" t="n">
        <v>12</v>
      </c>
      <c r="B16" s="19" t="s">
        <v>191</v>
      </c>
      <c r="C16" s="20" t="s">
        <v>196</v>
      </c>
      <c r="D16" s="21"/>
      <c r="E16" s="21" t="s">
        <v>192</v>
      </c>
      <c r="F16" s="22" t="s">
        <v>301</v>
      </c>
      <c r="G16" s="21" t="s">
        <v>141</v>
      </c>
      <c r="H16" s="19" t="s">
        <v>310</v>
      </c>
      <c r="I16" s="19" t="s">
        <v>303</v>
      </c>
    </row>
    <row r="17" customFormat="false" ht="25.5" hidden="false" customHeight="true" outlineLevel="0" collapsed="false">
      <c r="A17" s="23" t="n">
        <v>13</v>
      </c>
      <c r="B17" s="23" t="s">
        <v>311</v>
      </c>
      <c r="C17" s="23" t="s">
        <v>199</v>
      </c>
      <c r="D17" s="24" t="s">
        <v>152</v>
      </c>
      <c r="E17" s="24" t="s">
        <v>312</v>
      </c>
      <c r="F17" s="25" t="s">
        <v>313</v>
      </c>
      <c r="G17" s="24" t="s">
        <v>63</v>
      </c>
      <c r="H17" s="23" t="s">
        <v>302</v>
      </c>
      <c r="I17" s="23" t="s">
        <v>314</v>
      </c>
    </row>
    <row r="18" customFormat="false" ht="25.5" hidden="false" customHeight="true" outlineLevel="0" collapsed="false">
      <c r="A18" s="23" t="n">
        <v>14</v>
      </c>
      <c r="B18" s="23" t="s">
        <v>315</v>
      </c>
      <c r="C18" s="23" t="s">
        <v>199</v>
      </c>
      <c r="D18" s="24" t="s">
        <v>152</v>
      </c>
      <c r="E18" s="24" t="s">
        <v>316</v>
      </c>
      <c r="F18" s="25" t="s">
        <v>313</v>
      </c>
      <c r="G18" s="24" t="s">
        <v>63</v>
      </c>
      <c r="H18" s="23" t="s">
        <v>302</v>
      </c>
      <c r="I18" s="23" t="s">
        <v>314</v>
      </c>
    </row>
    <row r="19" customFormat="false" ht="25.5" hidden="false" customHeight="true" outlineLevel="0" collapsed="false">
      <c r="A19" s="23" t="n">
        <v>15</v>
      </c>
      <c r="B19" s="23" t="s">
        <v>317</v>
      </c>
      <c r="C19" s="23" t="s">
        <v>199</v>
      </c>
      <c r="D19" s="24" t="s">
        <v>152</v>
      </c>
      <c r="E19" s="24" t="s">
        <v>318</v>
      </c>
      <c r="F19" s="25" t="s">
        <v>313</v>
      </c>
      <c r="G19" s="24" t="s">
        <v>63</v>
      </c>
      <c r="H19" s="23" t="s">
        <v>302</v>
      </c>
      <c r="I19" s="23" t="s">
        <v>319</v>
      </c>
    </row>
    <row r="20" customFormat="false" ht="25.5" hidden="false" customHeight="true" outlineLevel="0" collapsed="false">
      <c r="A20" s="23" t="n">
        <v>16</v>
      </c>
      <c r="B20" s="23" t="s">
        <v>320</v>
      </c>
      <c r="C20" s="23" t="s">
        <v>199</v>
      </c>
      <c r="D20" s="24" t="s">
        <v>152</v>
      </c>
      <c r="E20" s="24" t="s">
        <v>321</v>
      </c>
      <c r="F20" s="25" t="s">
        <v>313</v>
      </c>
      <c r="G20" s="24" t="s">
        <v>63</v>
      </c>
      <c r="H20" s="23" t="s">
        <v>314</v>
      </c>
      <c r="I20" s="23" t="s">
        <v>322</v>
      </c>
    </row>
    <row r="21" customFormat="false" ht="25.5" hidden="false" customHeight="true" outlineLevel="0" collapsed="false">
      <c r="A21" s="23" t="n">
        <v>17</v>
      </c>
      <c r="B21" s="23" t="s">
        <v>323</v>
      </c>
      <c r="C21" s="23" t="s">
        <v>199</v>
      </c>
      <c r="D21" s="24" t="s">
        <v>152</v>
      </c>
      <c r="E21" s="24" t="s">
        <v>324</v>
      </c>
      <c r="F21" s="25" t="s">
        <v>313</v>
      </c>
      <c r="G21" s="24" t="s">
        <v>63</v>
      </c>
      <c r="H21" s="23" t="s">
        <v>314</v>
      </c>
      <c r="I21" s="23" t="s">
        <v>322</v>
      </c>
    </row>
    <row r="22" customFormat="false" ht="25.5" hidden="false" customHeight="true" outlineLevel="0" collapsed="false">
      <c r="A22" s="23" t="n">
        <v>18</v>
      </c>
      <c r="B22" s="23" t="s">
        <v>325</v>
      </c>
      <c r="C22" s="23" t="s">
        <v>199</v>
      </c>
      <c r="D22" s="24" t="s">
        <v>152</v>
      </c>
      <c r="E22" s="24" t="s">
        <v>326</v>
      </c>
      <c r="F22" s="25" t="s">
        <v>313</v>
      </c>
      <c r="G22" s="24" t="s">
        <v>63</v>
      </c>
      <c r="H22" s="23" t="s">
        <v>327</v>
      </c>
      <c r="I22" s="23" t="s">
        <v>328</v>
      </c>
    </row>
    <row r="23" customFormat="false" ht="25.5" hidden="false" customHeight="true" outlineLevel="0" collapsed="false">
      <c r="A23" s="23" t="n">
        <v>19</v>
      </c>
      <c r="B23" s="23" t="s">
        <v>329</v>
      </c>
      <c r="C23" s="23" t="s">
        <v>199</v>
      </c>
      <c r="D23" s="24" t="s">
        <v>152</v>
      </c>
      <c r="E23" s="24" t="s">
        <v>330</v>
      </c>
      <c r="F23" s="25" t="s">
        <v>313</v>
      </c>
      <c r="G23" s="24" t="s">
        <v>63</v>
      </c>
      <c r="H23" s="23" t="s">
        <v>319</v>
      </c>
      <c r="I23" s="23" t="s">
        <v>331</v>
      </c>
    </row>
    <row r="24" customFormat="false" ht="25.5" hidden="false" customHeight="true" outlineLevel="0" collapsed="false">
      <c r="A24" s="23" t="n">
        <v>20</v>
      </c>
      <c r="B24" s="23" t="s">
        <v>332</v>
      </c>
      <c r="C24" s="23" t="s">
        <v>199</v>
      </c>
      <c r="D24" s="24" t="s">
        <v>152</v>
      </c>
      <c r="E24" s="24" t="s">
        <v>333</v>
      </c>
      <c r="F24" s="25" t="s">
        <v>313</v>
      </c>
      <c r="G24" s="24" t="s">
        <v>63</v>
      </c>
      <c r="H24" s="23" t="s">
        <v>322</v>
      </c>
      <c r="I24" s="23" t="s">
        <v>331</v>
      </c>
    </row>
    <row r="25" customFormat="false" ht="25.5" hidden="false" customHeight="true" outlineLevel="0" collapsed="false">
      <c r="A25" s="23" t="n">
        <v>21</v>
      </c>
      <c r="B25" s="23" t="s">
        <v>334</v>
      </c>
      <c r="C25" s="23" t="s">
        <v>199</v>
      </c>
      <c r="D25" s="24" t="s">
        <v>152</v>
      </c>
      <c r="E25" s="24" t="s">
        <v>335</v>
      </c>
      <c r="F25" s="25" t="s">
        <v>313</v>
      </c>
      <c r="G25" s="24" t="s">
        <v>63</v>
      </c>
      <c r="H25" s="23" t="s">
        <v>322</v>
      </c>
      <c r="I25" s="23" t="s">
        <v>331</v>
      </c>
    </row>
    <row r="26" customFormat="false" ht="25.5" hidden="false" customHeight="true" outlineLevel="0" collapsed="false">
      <c r="A26" s="23" t="n">
        <v>22</v>
      </c>
      <c r="B26" s="23" t="s">
        <v>336</v>
      </c>
      <c r="C26" s="23" t="s">
        <v>199</v>
      </c>
      <c r="D26" s="24" t="s">
        <v>152</v>
      </c>
      <c r="E26" s="24" t="s">
        <v>337</v>
      </c>
      <c r="F26" s="25" t="s">
        <v>313</v>
      </c>
      <c r="G26" s="24" t="s">
        <v>63</v>
      </c>
      <c r="H26" s="23" t="s">
        <v>328</v>
      </c>
      <c r="I26" s="23" t="s">
        <v>331</v>
      </c>
    </row>
    <row r="27" customFormat="false" ht="25.5" hidden="false" customHeight="true" outlineLevel="0" collapsed="false">
      <c r="A27" s="23" t="n">
        <v>23</v>
      </c>
      <c r="B27" s="23" t="s">
        <v>338</v>
      </c>
      <c r="C27" s="23" t="s">
        <v>199</v>
      </c>
      <c r="D27" s="24" t="s">
        <v>152</v>
      </c>
      <c r="E27" s="24" t="s">
        <v>339</v>
      </c>
      <c r="F27" s="25" t="s">
        <v>313</v>
      </c>
      <c r="G27" s="24" t="s">
        <v>63</v>
      </c>
      <c r="H27" s="23" t="s">
        <v>328</v>
      </c>
      <c r="I27" s="23" t="s">
        <v>331</v>
      </c>
    </row>
    <row r="28" customFormat="false" ht="25.5" hidden="false" customHeight="true" outlineLevel="0" collapsed="false">
      <c r="A28" s="23" t="n">
        <v>24</v>
      </c>
      <c r="B28" s="23" t="s">
        <v>340</v>
      </c>
      <c r="C28" s="23" t="s">
        <v>199</v>
      </c>
      <c r="D28" s="24" t="s">
        <v>156</v>
      </c>
      <c r="E28" s="24" t="s">
        <v>341</v>
      </c>
      <c r="F28" s="25" t="s">
        <v>313</v>
      </c>
      <c r="G28" s="24" t="s">
        <v>67</v>
      </c>
      <c r="H28" s="23" t="s">
        <v>304</v>
      </c>
      <c r="I28" s="23" t="s">
        <v>342</v>
      </c>
    </row>
    <row r="29" customFormat="false" ht="25.5" hidden="false" customHeight="true" outlineLevel="0" collapsed="false">
      <c r="A29" s="23" t="n">
        <v>25</v>
      </c>
      <c r="B29" s="23" t="s">
        <v>343</v>
      </c>
      <c r="C29" s="23" t="s">
        <v>199</v>
      </c>
      <c r="D29" s="24" t="s">
        <v>156</v>
      </c>
      <c r="E29" s="24" t="s">
        <v>344</v>
      </c>
      <c r="F29" s="25" t="s">
        <v>313</v>
      </c>
      <c r="G29" s="24" t="s">
        <v>67</v>
      </c>
      <c r="H29" s="23" t="s">
        <v>304</v>
      </c>
      <c r="I29" s="23" t="s">
        <v>345</v>
      </c>
    </row>
    <row r="30" customFormat="false" ht="25.5" hidden="false" customHeight="true" outlineLevel="0" collapsed="false">
      <c r="A30" s="23" t="n">
        <v>26</v>
      </c>
      <c r="B30" s="23" t="s">
        <v>346</v>
      </c>
      <c r="C30" s="23" t="s">
        <v>199</v>
      </c>
      <c r="D30" s="24" t="s">
        <v>156</v>
      </c>
      <c r="E30" s="24" t="s">
        <v>347</v>
      </c>
      <c r="F30" s="25" t="s">
        <v>313</v>
      </c>
      <c r="G30" s="24" t="s">
        <v>67</v>
      </c>
      <c r="H30" s="23" t="s">
        <v>304</v>
      </c>
      <c r="I30" s="23" t="s">
        <v>345</v>
      </c>
    </row>
    <row r="31" customFormat="false" ht="25.5" hidden="false" customHeight="true" outlineLevel="0" collapsed="false">
      <c r="A31" s="23" t="n">
        <v>27</v>
      </c>
      <c r="B31" s="23" t="s">
        <v>348</v>
      </c>
      <c r="C31" s="23" t="s">
        <v>199</v>
      </c>
      <c r="D31" s="24" t="s">
        <v>156</v>
      </c>
      <c r="E31" s="24" t="s">
        <v>349</v>
      </c>
      <c r="F31" s="25" t="s">
        <v>313</v>
      </c>
      <c r="G31" s="24" t="s">
        <v>67</v>
      </c>
      <c r="H31" s="23" t="s">
        <v>350</v>
      </c>
      <c r="I31" s="23" t="s">
        <v>351</v>
      </c>
    </row>
    <row r="32" customFormat="false" ht="25.5" hidden="false" customHeight="true" outlineLevel="0" collapsed="false">
      <c r="A32" s="23" t="n">
        <v>28</v>
      </c>
      <c r="B32" s="23" t="s">
        <v>352</v>
      </c>
      <c r="C32" s="23" t="s">
        <v>199</v>
      </c>
      <c r="D32" s="24" t="s">
        <v>156</v>
      </c>
      <c r="E32" s="24" t="s">
        <v>353</v>
      </c>
      <c r="F32" s="25" t="s">
        <v>313</v>
      </c>
      <c r="G32" s="24" t="s">
        <v>67</v>
      </c>
      <c r="H32" s="23" t="s">
        <v>345</v>
      </c>
      <c r="I32" s="23" t="s">
        <v>354</v>
      </c>
    </row>
    <row r="33" customFormat="false" ht="25.5" hidden="false" customHeight="true" outlineLevel="0" collapsed="false">
      <c r="A33" s="23" t="n">
        <v>29</v>
      </c>
      <c r="B33" s="23" t="s">
        <v>355</v>
      </c>
      <c r="C33" s="23" t="s">
        <v>199</v>
      </c>
      <c r="D33" s="24" t="s">
        <v>156</v>
      </c>
      <c r="E33" s="24" t="s">
        <v>356</v>
      </c>
      <c r="F33" s="25" t="s">
        <v>313</v>
      </c>
      <c r="G33" s="24" t="s">
        <v>67</v>
      </c>
      <c r="H33" s="23" t="s">
        <v>345</v>
      </c>
      <c r="I33" s="23" t="s">
        <v>354</v>
      </c>
    </row>
    <row r="34" customFormat="false" ht="25.5" hidden="false" customHeight="true" outlineLevel="0" collapsed="false">
      <c r="A34" s="23" t="n">
        <v>30</v>
      </c>
      <c r="B34" s="23" t="s">
        <v>357</v>
      </c>
      <c r="C34" s="23" t="s">
        <v>199</v>
      </c>
      <c r="D34" s="24" t="s">
        <v>156</v>
      </c>
      <c r="E34" s="24" t="s">
        <v>358</v>
      </c>
      <c r="F34" s="25" t="s">
        <v>313</v>
      </c>
      <c r="G34" s="24" t="s">
        <v>67</v>
      </c>
      <c r="H34" s="23" t="s">
        <v>351</v>
      </c>
      <c r="I34" s="23" t="s">
        <v>359</v>
      </c>
    </row>
    <row r="35" customFormat="false" ht="25.5" hidden="false" customHeight="true" outlineLevel="0" collapsed="false">
      <c r="A35" s="23" t="n">
        <v>31</v>
      </c>
      <c r="B35" s="23" t="s">
        <v>360</v>
      </c>
      <c r="C35" s="23" t="s">
        <v>199</v>
      </c>
      <c r="D35" s="24" t="s">
        <v>156</v>
      </c>
      <c r="E35" s="24" t="s">
        <v>361</v>
      </c>
      <c r="F35" s="25" t="s">
        <v>313</v>
      </c>
      <c r="G35" s="24" t="s">
        <v>67</v>
      </c>
      <c r="H35" s="23" t="s">
        <v>354</v>
      </c>
      <c r="I35" s="23" t="s">
        <v>359</v>
      </c>
    </row>
    <row r="36" customFormat="false" ht="25.5" hidden="false" customHeight="true" outlineLevel="0" collapsed="false">
      <c r="A36" s="23" t="n">
        <v>32</v>
      </c>
      <c r="B36" s="23" t="s">
        <v>362</v>
      </c>
      <c r="C36" s="23" t="s">
        <v>199</v>
      </c>
      <c r="D36" s="24" t="s">
        <v>152</v>
      </c>
      <c r="E36" s="24" t="s">
        <v>363</v>
      </c>
      <c r="F36" s="25" t="s">
        <v>313</v>
      </c>
      <c r="G36" s="24" t="s">
        <v>67</v>
      </c>
      <c r="H36" s="23" t="s">
        <v>359</v>
      </c>
      <c r="I36" s="23" t="s">
        <v>364</v>
      </c>
    </row>
    <row r="37" customFormat="false" ht="25.5" hidden="false" customHeight="true" outlineLevel="0" collapsed="false">
      <c r="A37" s="23" t="n">
        <v>33</v>
      </c>
      <c r="B37" s="23" t="s">
        <v>365</v>
      </c>
      <c r="C37" s="23" t="s">
        <v>199</v>
      </c>
      <c r="D37" s="24" t="s">
        <v>156</v>
      </c>
      <c r="E37" s="24" t="s">
        <v>366</v>
      </c>
      <c r="F37" s="25" t="s">
        <v>313</v>
      </c>
      <c r="G37" s="24" t="s">
        <v>70</v>
      </c>
      <c r="H37" s="23" t="s">
        <v>364</v>
      </c>
      <c r="I37" s="23" t="s">
        <v>367</v>
      </c>
    </row>
    <row r="38" customFormat="false" ht="25.5" hidden="false" customHeight="true" outlineLevel="0" collapsed="false">
      <c r="A38" s="23" t="n">
        <v>34</v>
      </c>
      <c r="B38" s="23" t="s">
        <v>368</v>
      </c>
      <c r="C38" s="23" t="s">
        <v>199</v>
      </c>
      <c r="D38" s="24" t="s">
        <v>156</v>
      </c>
      <c r="E38" s="24" t="s">
        <v>369</v>
      </c>
      <c r="F38" s="25" t="s">
        <v>313</v>
      </c>
      <c r="G38" s="24" t="s">
        <v>70</v>
      </c>
      <c r="H38" s="23" t="s">
        <v>370</v>
      </c>
      <c r="I38" s="23" t="s">
        <v>371</v>
      </c>
    </row>
    <row r="39" customFormat="false" ht="25.5" hidden="false" customHeight="true" outlineLevel="0" collapsed="false">
      <c r="A39" s="23" t="n">
        <v>35</v>
      </c>
      <c r="B39" s="23" t="s">
        <v>372</v>
      </c>
      <c r="C39" s="23" t="s">
        <v>199</v>
      </c>
      <c r="D39" s="24" t="s">
        <v>156</v>
      </c>
      <c r="E39" s="24" t="s">
        <v>373</v>
      </c>
      <c r="F39" s="25" t="s">
        <v>313</v>
      </c>
      <c r="G39" s="24" t="s">
        <v>70</v>
      </c>
      <c r="H39" s="23" t="s">
        <v>374</v>
      </c>
      <c r="I39" s="23" t="s">
        <v>375</v>
      </c>
    </row>
    <row r="40" customFormat="false" ht="25.5" hidden="false" customHeight="true" outlineLevel="0" collapsed="false">
      <c r="A40" s="23" t="n">
        <v>36</v>
      </c>
      <c r="B40" s="23" t="s">
        <v>376</v>
      </c>
      <c r="C40" s="23" t="s">
        <v>199</v>
      </c>
      <c r="D40" s="24" t="s">
        <v>156</v>
      </c>
      <c r="E40" s="24" t="s">
        <v>377</v>
      </c>
      <c r="F40" s="25" t="s">
        <v>313</v>
      </c>
      <c r="G40" s="24" t="s">
        <v>70</v>
      </c>
      <c r="H40" s="23" t="s">
        <v>371</v>
      </c>
      <c r="I40" s="23" t="s">
        <v>378</v>
      </c>
    </row>
    <row r="41" customFormat="false" ht="25.5" hidden="false" customHeight="true" outlineLevel="0" collapsed="false">
      <c r="A41" s="23" t="n">
        <v>37</v>
      </c>
      <c r="B41" s="23" t="s">
        <v>379</v>
      </c>
      <c r="C41" s="23" t="s">
        <v>199</v>
      </c>
      <c r="D41" s="24" t="s">
        <v>156</v>
      </c>
      <c r="E41" s="24" t="s">
        <v>380</v>
      </c>
      <c r="F41" s="25" t="s">
        <v>313</v>
      </c>
      <c r="G41" s="24" t="s">
        <v>70</v>
      </c>
      <c r="H41" s="23" t="s">
        <v>367</v>
      </c>
      <c r="I41" s="23" t="s">
        <v>381</v>
      </c>
    </row>
    <row r="42" customFormat="false" ht="25.5" hidden="false" customHeight="true" outlineLevel="0" collapsed="false">
      <c r="A42" s="23" t="n">
        <v>38</v>
      </c>
      <c r="B42" s="23" t="s">
        <v>382</v>
      </c>
      <c r="C42" s="23" t="s">
        <v>199</v>
      </c>
      <c r="D42" s="24" t="s">
        <v>156</v>
      </c>
      <c r="E42" s="24" t="s">
        <v>383</v>
      </c>
      <c r="F42" s="25" t="s">
        <v>313</v>
      </c>
      <c r="G42" s="24" t="s">
        <v>70</v>
      </c>
      <c r="H42" s="23" t="s">
        <v>375</v>
      </c>
      <c r="I42" s="23" t="s">
        <v>384</v>
      </c>
    </row>
    <row r="43" customFormat="false" ht="25.5" hidden="false" customHeight="true" outlineLevel="0" collapsed="false">
      <c r="A43" s="23" t="n">
        <v>39</v>
      </c>
      <c r="B43" s="23" t="s">
        <v>385</v>
      </c>
      <c r="C43" s="23" t="s">
        <v>199</v>
      </c>
      <c r="D43" s="24" t="s">
        <v>156</v>
      </c>
      <c r="E43" s="24" t="s">
        <v>386</v>
      </c>
      <c r="F43" s="25" t="s">
        <v>313</v>
      </c>
      <c r="G43" s="24" t="s">
        <v>70</v>
      </c>
      <c r="H43" s="23" t="s">
        <v>387</v>
      </c>
      <c r="I43" s="23" t="s">
        <v>388</v>
      </c>
    </row>
    <row r="44" customFormat="false" ht="25.5" hidden="false" customHeight="true" outlineLevel="0" collapsed="false">
      <c r="A44" s="23" t="n">
        <v>40</v>
      </c>
      <c r="B44" s="23" t="s">
        <v>389</v>
      </c>
      <c r="C44" s="23" t="s">
        <v>199</v>
      </c>
      <c r="D44" s="24" t="s">
        <v>156</v>
      </c>
      <c r="E44" s="24" t="s">
        <v>390</v>
      </c>
      <c r="F44" s="25" t="s">
        <v>313</v>
      </c>
      <c r="G44" s="24" t="s">
        <v>70</v>
      </c>
      <c r="H44" s="23" t="s">
        <v>387</v>
      </c>
      <c r="I44" s="23" t="s">
        <v>388</v>
      </c>
    </row>
    <row r="45" customFormat="false" ht="25.5" hidden="false" customHeight="true" outlineLevel="0" collapsed="false">
      <c r="A45" s="23" t="n">
        <v>41</v>
      </c>
      <c r="B45" s="23" t="s">
        <v>391</v>
      </c>
      <c r="C45" s="23" t="s">
        <v>199</v>
      </c>
      <c r="D45" s="24" t="s">
        <v>156</v>
      </c>
      <c r="E45" s="24" t="s">
        <v>392</v>
      </c>
      <c r="F45" s="25" t="s">
        <v>313</v>
      </c>
      <c r="G45" s="24" t="s">
        <v>70</v>
      </c>
      <c r="H45" s="23" t="s">
        <v>381</v>
      </c>
      <c r="I45" s="23" t="s">
        <v>393</v>
      </c>
    </row>
    <row r="46" customFormat="false" ht="25.5" hidden="false" customHeight="true" outlineLevel="0" collapsed="false">
      <c r="A46" s="23" t="n">
        <v>42</v>
      </c>
      <c r="B46" s="23" t="s">
        <v>394</v>
      </c>
      <c r="C46" s="23" t="s">
        <v>199</v>
      </c>
      <c r="D46" s="24" t="s">
        <v>156</v>
      </c>
      <c r="E46" s="24" t="s">
        <v>395</v>
      </c>
      <c r="F46" s="25" t="s">
        <v>313</v>
      </c>
      <c r="G46" s="24" t="s">
        <v>70</v>
      </c>
      <c r="H46" s="23" t="s">
        <v>388</v>
      </c>
      <c r="I46" s="23" t="s">
        <v>396</v>
      </c>
    </row>
    <row r="47" customFormat="false" ht="25.5" hidden="false" customHeight="true" outlineLevel="0" collapsed="false">
      <c r="A47" s="23" t="n">
        <v>43</v>
      </c>
      <c r="B47" s="23" t="s">
        <v>397</v>
      </c>
      <c r="C47" s="23" t="s">
        <v>199</v>
      </c>
      <c r="D47" s="24" t="s">
        <v>152</v>
      </c>
      <c r="E47" s="24" t="s">
        <v>398</v>
      </c>
      <c r="F47" s="25" t="s">
        <v>313</v>
      </c>
      <c r="G47" s="24" t="s">
        <v>70</v>
      </c>
      <c r="H47" s="23" t="s">
        <v>396</v>
      </c>
      <c r="I47" s="23" t="s">
        <v>306</v>
      </c>
    </row>
    <row r="48" customFormat="false" ht="25.5" hidden="false" customHeight="true" outlineLevel="0" collapsed="false">
      <c r="A48" s="23" t="n">
        <v>44</v>
      </c>
      <c r="B48" s="23" t="s">
        <v>399</v>
      </c>
      <c r="C48" s="23" t="s">
        <v>199</v>
      </c>
      <c r="D48" s="24" t="s">
        <v>160</v>
      </c>
      <c r="E48" s="24" t="s">
        <v>400</v>
      </c>
      <c r="F48" s="25" t="s">
        <v>313</v>
      </c>
      <c r="G48" s="24" t="s">
        <v>73</v>
      </c>
      <c r="H48" s="23" t="s">
        <v>306</v>
      </c>
      <c r="I48" s="23" t="s">
        <v>401</v>
      </c>
    </row>
    <row r="49" customFormat="false" ht="25.5" hidden="false" customHeight="true" outlineLevel="0" collapsed="false">
      <c r="A49" s="23" t="n">
        <v>45</v>
      </c>
      <c r="B49" s="23" t="s">
        <v>402</v>
      </c>
      <c r="C49" s="23" t="s">
        <v>199</v>
      </c>
      <c r="D49" s="24" t="s">
        <v>160</v>
      </c>
      <c r="E49" s="24" t="s">
        <v>403</v>
      </c>
      <c r="F49" s="25" t="s">
        <v>313</v>
      </c>
      <c r="G49" s="24" t="s">
        <v>73</v>
      </c>
      <c r="H49" s="23" t="s">
        <v>306</v>
      </c>
      <c r="I49" s="23" t="s">
        <v>401</v>
      </c>
    </row>
    <row r="50" customFormat="false" ht="25.5" hidden="false" customHeight="true" outlineLevel="0" collapsed="false">
      <c r="A50" s="23" t="n">
        <v>46</v>
      </c>
      <c r="B50" s="23" t="s">
        <v>404</v>
      </c>
      <c r="C50" s="23" t="s">
        <v>199</v>
      </c>
      <c r="D50" s="24" t="s">
        <v>160</v>
      </c>
      <c r="E50" s="24" t="s">
        <v>405</v>
      </c>
      <c r="F50" s="25" t="s">
        <v>313</v>
      </c>
      <c r="G50" s="24" t="s">
        <v>73</v>
      </c>
      <c r="H50" s="23" t="s">
        <v>406</v>
      </c>
      <c r="I50" s="23" t="s">
        <v>407</v>
      </c>
    </row>
    <row r="51" customFormat="false" ht="25.5" hidden="false" customHeight="true" outlineLevel="0" collapsed="false">
      <c r="A51" s="23" t="n">
        <v>47</v>
      </c>
      <c r="B51" s="23" t="s">
        <v>408</v>
      </c>
      <c r="C51" s="23" t="s">
        <v>199</v>
      </c>
      <c r="D51" s="24" t="s">
        <v>160</v>
      </c>
      <c r="E51" s="24" t="s">
        <v>409</v>
      </c>
      <c r="F51" s="25" t="s">
        <v>313</v>
      </c>
      <c r="G51" s="24" t="s">
        <v>73</v>
      </c>
      <c r="H51" s="23" t="s">
        <v>410</v>
      </c>
      <c r="I51" s="23" t="s">
        <v>411</v>
      </c>
    </row>
    <row r="52" customFormat="false" ht="25.5" hidden="false" customHeight="true" outlineLevel="0" collapsed="false">
      <c r="A52" s="23" t="n">
        <v>48</v>
      </c>
      <c r="B52" s="23" t="s">
        <v>412</v>
      </c>
      <c r="C52" s="23" t="s">
        <v>199</v>
      </c>
      <c r="D52" s="24" t="s">
        <v>160</v>
      </c>
      <c r="E52" s="24" t="s">
        <v>413</v>
      </c>
      <c r="F52" s="25" t="s">
        <v>313</v>
      </c>
      <c r="G52" s="24" t="s">
        <v>73</v>
      </c>
      <c r="H52" s="23" t="s">
        <v>410</v>
      </c>
      <c r="I52" s="23" t="s">
        <v>414</v>
      </c>
    </row>
    <row r="53" customFormat="false" ht="25.5" hidden="false" customHeight="true" outlineLevel="0" collapsed="false">
      <c r="A53" s="23" t="n">
        <v>49</v>
      </c>
      <c r="B53" s="23" t="s">
        <v>415</v>
      </c>
      <c r="C53" s="23" t="s">
        <v>199</v>
      </c>
      <c r="D53" s="24" t="s">
        <v>160</v>
      </c>
      <c r="E53" s="24" t="s">
        <v>416</v>
      </c>
      <c r="F53" s="25" t="s">
        <v>313</v>
      </c>
      <c r="G53" s="24" t="s">
        <v>73</v>
      </c>
      <c r="H53" s="23" t="s">
        <v>401</v>
      </c>
      <c r="I53" s="23" t="s">
        <v>417</v>
      </c>
    </row>
    <row r="54" customFormat="false" ht="25.5" hidden="false" customHeight="true" outlineLevel="0" collapsed="false">
      <c r="A54" s="23" t="n">
        <v>50</v>
      </c>
      <c r="B54" s="23" t="s">
        <v>418</v>
      </c>
      <c r="C54" s="23" t="s">
        <v>199</v>
      </c>
      <c r="D54" s="24" t="s">
        <v>160</v>
      </c>
      <c r="E54" s="24" t="s">
        <v>419</v>
      </c>
      <c r="F54" s="25" t="s">
        <v>313</v>
      </c>
      <c r="G54" s="24" t="s">
        <v>73</v>
      </c>
      <c r="H54" s="23" t="s">
        <v>401</v>
      </c>
      <c r="I54" s="23" t="s">
        <v>417</v>
      </c>
    </row>
    <row r="55" customFormat="false" ht="25.5" hidden="false" customHeight="true" outlineLevel="0" collapsed="false">
      <c r="A55" s="23" t="n">
        <v>51</v>
      </c>
      <c r="B55" s="23" t="s">
        <v>420</v>
      </c>
      <c r="C55" s="23" t="s">
        <v>199</v>
      </c>
      <c r="D55" s="24" t="s">
        <v>160</v>
      </c>
      <c r="E55" s="24" t="s">
        <v>421</v>
      </c>
      <c r="F55" s="25" t="s">
        <v>313</v>
      </c>
      <c r="G55" s="24" t="s">
        <v>73</v>
      </c>
      <c r="H55" s="23" t="s">
        <v>411</v>
      </c>
      <c r="I55" s="23" t="s">
        <v>422</v>
      </c>
    </row>
    <row r="56" customFormat="false" ht="25.5" hidden="false" customHeight="true" outlineLevel="0" collapsed="false">
      <c r="A56" s="23" t="n">
        <v>52</v>
      </c>
      <c r="B56" s="23" t="s">
        <v>423</v>
      </c>
      <c r="C56" s="23" t="s">
        <v>199</v>
      </c>
      <c r="D56" s="24" t="s">
        <v>160</v>
      </c>
      <c r="E56" s="24" t="s">
        <v>424</v>
      </c>
      <c r="F56" s="25" t="s">
        <v>313</v>
      </c>
      <c r="G56" s="24" t="s">
        <v>73</v>
      </c>
      <c r="H56" s="23" t="s">
        <v>422</v>
      </c>
      <c r="I56" s="23" t="s">
        <v>425</v>
      </c>
    </row>
    <row r="57" customFormat="false" ht="25.5" hidden="false" customHeight="true" outlineLevel="0" collapsed="false">
      <c r="A57" s="23" t="n">
        <v>53</v>
      </c>
      <c r="B57" s="23" t="s">
        <v>426</v>
      </c>
      <c r="C57" s="23" t="s">
        <v>199</v>
      </c>
      <c r="D57" s="24" t="s">
        <v>164</v>
      </c>
      <c r="E57" s="24" t="s">
        <v>427</v>
      </c>
      <c r="F57" s="25" t="s">
        <v>313</v>
      </c>
      <c r="G57" s="24" t="s">
        <v>73</v>
      </c>
      <c r="H57" s="23" t="s">
        <v>306</v>
      </c>
      <c r="I57" s="23" t="s">
        <v>410</v>
      </c>
    </row>
    <row r="58" customFormat="false" ht="25.5" hidden="false" customHeight="true" outlineLevel="0" collapsed="false">
      <c r="A58" s="23" t="n">
        <v>54</v>
      </c>
      <c r="B58" s="23" t="s">
        <v>428</v>
      </c>
      <c r="C58" s="23" t="s">
        <v>199</v>
      </c>
      <c r="D58" s="24" t="s">
        <v>164</v>
      </c>
      <c r="E58" s="24" t="s">
        <v>429</v>
      </c>
      <c r="F58" s="25" t="s">
        <v>313</v>
      </c>
      <c r="G58" s="24" t="s">
        <v>73</v>
      </c>
      <c r="H58" s="23" t="s">
        <v>406</v>
      </c>
      <c r="I58" s="23" t="s">
        <v>407</v>
      </c>
    </row>
    <row r="59" customFormat="false" ht="25.5" hidden="false" customHeight="true" outlineLevel="0" collapsed="false">
      <c r="A59" s="23" t="n">
        <v>55</v>
      </c>
      <c r="B59" s="23" t="s">
        <v>430</v>
      </c>
      <c r="C59" s="23" t="s">
        <v>199</v>
      </c>
      <c r="D59" s="24" t="s">
        <v>164</v>
      </c>
      <c r="E59" s="24" t="s">
        <v>431</v>
      </c>
      <c r="F59" s="25" t="s">
        <v>313</v>
      </c>
      <c r="G59" s="24" t="s">
        <v>73</v>
      </c>
      <c r="H59" s="23" t="s">
        <v>410</v>
      </c>
      <c r="I59" s="23" t="s">
        <v>432</v>
      </c>
    </row>
    <row r="60" customFormat="false" ht="25.5" hidden="false" customHeight="true" outlineLevel="0" collapsed="false">
      <c r="A60" s="23" t="n">
        <v>56</v>
      </c>
      <c r="B60" s="23" t="s">
        <v>433</v>
      </c>
      <c r="C60" s="23" t="s">
        <v>199</v>
      </c>
      <c r="D60" s="24" t="s">
        <v>164</v>
      </c>
      <c r="E60" s="24" t="s">
        <v>434</v>
      </c>
      <c r="F60" s="25" t="s">
        <v>313</v>
      </c>
      <c r="G60" s="24" t="s">
        <v>73</v>
      </c>
      <c r="H60" s="23" t="s">
        <v>410</v>
      </c>
      <c r="I60" s="23" t="s">
        <v>432</v>
      </c>
    </row>
    <row r="61" customFormat="false" ht="25.5" hidden="false" customHeight="true" outlineLevel="0" collapsed="false">
      <c r="A61" s="23" t="n">
        <v>57</v>
      </c>
      <c r="B61" s="23" t="s">
        <v>435</v>
      </c>
      <c r="C61" s="23" t="s">
        <v>199</v>
      </c>
      <c r="D61" s="24" t="s">
        <v>164</v>
      </c>
      <c r="E61" s="24" t="s">
        <v>436</v>
      </c>
      <c r="F61" s="25" t="s">
        <v>313</v>
      </c>
      <c r="G61" s="24" t="s">
        <v>73</v>
      </c>
      <c r="H61" s="23" t="s">
        <v>401</v>
      </c>
      <c r="I61" s="23" t="s">
        <v>414</v>
      </c>
    </row>
    <row r="62" customFormat="false" ht="25.5" hidden="false" customHeight="true" outlineLevel="0" collapsed="false">
      <c r="A62" s="23" t="n">
        <v>58</v>
      </c>
      <c r="B62" s="23" t="s">
        <v>437</v>
      </c>
      <c r="C62" s="23" t="s">
        <v>199</v>
      </c>
      <c r="D62" s="24" t="s">
        <v>164</v>
      </c>
      <c r="E62" s="24" t="s">
        <v>438</v>
      </c>
      <c r="F62" s="25" t="s">
        <v>313</v>
      </c>
      <c r="G62" s="24" t="s">
        <v>73</v>
      </c>
      <c r="H62" s="23" t="s">
        <v>411</v>
      </c>
      <c r="I62" s="23" t="s">
        <v>422</v>
      </c>
    </row>
    <row r="63" customFormat="false" ht="25.5" hidden="false" customHeight="true" outlineLevel="0" collapsed="false">
      <c r="A63" s="23" t="n">
        <v>59</v>
      </c>
      <c r="B63" s="23" t="s">
        <v>439</v>
      </c>
      <c r="C63" s="23" t="s">
        <v>199</v>
      </c>
      <c r="D63" s="24" t="s">
        <v>164</v>
      </c>
      <c r="E63" s="24" t="s">
        <v>440</v>
      </c>
      <c r="F63" s="25" t="s">
        <v>313</v>
      </c>
      <c r="G63" s="24" t="s">
        <v>73</v>
      </c>
      <c r="H63" s="23" t="s">
        <v>432</v>
      </c>
      <c r="I63" s="23" t="s">
        <v>441</v>
      </c>
    </row>
    <row r="64" customFormat="false" ht="25.5" hidden="false" customHeight="true" outlineLevel="0" collapsed="false">
      <c r="A64" s="23" t="n">
        <v>60</v>
      </c>
      <c r="B64" s="23" t="s">
        <v>442</v>
      </c>
      <c r="C64" s="23" t="s">
        <v>199</v>
      </c>
      <c r="D64" s="24" t="s">
        <v>152</v>
      </c>
      <c r="E64" s="24" t="s">
        <v>443</v>
      </c>
      <c r="F64" s="25" t="s">
        <v>313</v>
      </c>
      <c r="G64" s="24" t="s">
        <v>73</v>
      </c>
      <c r="H64" s="23" t="s">
        <v>425</v>
      </c>
      <c r="I64" s="23" t="s">
        <v>307</v>
      </c>
    </row>
    <row r="65" customFormat="false" ht="25.5" hidden="false" customHeight="true" outlineLevel="0" collapsed="false">
      <c r="A65" s="26" t="n">
        <v>61</v>
      </c>
      <c r="B65" s="26" t="s">
        <v>444</v>
      </c>
      <c r="C65" s="26" t="s">
        <v>445</v>
      </c>
      <c r="D65" s="27" t="s">
        <v>167</v>
      </c>
      <c r="E65" s="27" t="s">
        <v>446</v>
      </c>
      <c r="F65" s="28" t="s">
        <v>313</v>
      </c>
      <c r="G65" s="27" t="s">
        <v>76</v>
      </c>
      <c r="H65" s="26" t="s">
        <v>307</v>
      </c>
      <c r="I65" s="26" t="s">
        <v>447</v>
      </c>
    </row>
    <row r="66" customFormat="false" ht="25.5" hidden="false" customHeight="true" outlineLevel="0" collapsed="false">
      <c r="A66" s="26" t="n">
        <v>62</v>
      </c>
      <c r="B66" s="26" t="s">
        <v>448</v>
      </c>
      <c r="C66" s="26" t="s">
        <v>445</v>
      </c>
      <c r="D66" s="27" t="s">
        <v>167</v>
      </c>
      <c r="E66" s="27" t="s">
        <v>449</v>
      </c>
      <c r="F66" s="28" t="s">
        <v>313</v>
      </c>
      <c r="G66" s="27" t="s">
        <v>76</v>
      </c>
      <c r="H66" s="26" t="s">
        <v>307</v>
      </c>
      <c r="I66" s="26" t="s">
        <v>447</v>
      </c>
    </row>
    <row r="67" customFormat="false" ht="25.5" hidden="false" customHeight="true" outlineLevel="0" collapsed="false">
      <c r="A67" s="26" t="n">
        <v>63</v>
      </c>
      <c r="B67" s="26" t="s">
        <v>450</v>
      </c>
      <c r="C67" s="26" t="s">
        <v>445</v>
      </c>
      <c r="D67" s="27" t="s">
        <v>167</v>
      </c>
      <c r="E67" s="27" t="s">
        <v>451</v>
      </c>
      <c r="F67" s="28" t="s">
        <v>313</v>
      </c>
      <c r="G67" s="27" t="s">
        <v>76</v>
      </c>
      <c r="H67" s="26" t="s">
        <v>452</v>
      </c>
      <c r="I67" s="26" t="s">
        <v>453</v>
      </c>
    </row>
    <row r="68" customFormat="false" ht="25.5" hidden="false" customHeight="true" outlineLevel="0" collapsed="false">
      <c r="A68" s="26" t="n">
        <v>64</v>
      </c>
      <c r="B68" s="26" t="s">
        <v>454</v>
      </c>
      <c r="C68" s="26" t="s">
        <v>445</v>
      </c>
      <c r="D68" s="27" t="s">
        <v>167</v>
      </c>
      <c r="E68" s="27" t="s">
        <v>455</v>
      </c>
      <c r="F68" s="28" t="s">
        <v>313</v>
      </c>
      <c r="G68" s="27" t="s">
        <v>76</v>
      </c>
      <c r="H68" s="26" t="s">
        <v>447</v>
      </c>
      <c r="I68" s="26" t="s">
        <v>456</v>
      </c>
    </row>
    <row r="69" customFormat="false" ht="25.5" hidden="false" customHeight="true" outlineLevel="0" collapsed="false">
      <c r="A69" s="23" t="n">
        <v>65</v>
      </c>
      <c r="B69" s="23" t="s">
        <v>457</v>
      </c>
      <c r="C69" s="23" t="s">
        <v>199</v>
      </c>
      <c r="D69" s="24" t="s">
        <v>167</v>
      </c>
      <c r="E69" s="24" t="s">
        <v>458</v>
      </c>
      <c r="F69" s="25" t="s">
        <v>313</v>
      </c>
      <c r="G69" s="24" t="s">
        <v>76</v>
      </c>
      <c r="H69" s="23" t="s">
        <v>307</v>
      </c>
      <c r="I69" s="23" t="s">
        <v>459</v>
      </c>
    </row>
    <row r="70" customFormat="false" ht="25.5" hidden="false" customHeight="true" outlineLevel="0" collapsed="false">
      <c r="A70" s="23" t="n">
        <v>66</v>
      </c>
      <c r="B70" s="23" t="s">
        <v>460</v>
      </c>
      <c r="C70" s="23" t="s">
        <v>199</v>
      </c>
      <c r="D70" s="24" t="s">
        <v>167</v>
      </c>
      <c r="E70" s="24" t="s">
        <v>461</v>
      </c>
      <c r="F70" s="25" t="s">
        <v>313</v>
      </c>
      <c r="G70" s="24" t="s">
        <v>76</v>
      </c>
      <c r="H70" s="23" t="s">
        <v>447</v>
      </c>
      <c r="I70" s="23" t="s">
        <v>453</v>
      </c>
    </row>
    <row r="71" customFormat="false" ht="25.5" hidden="false" customHeight="true" outlineLevel="0" collapsed="false">
      <c r="A71" s="26" t="n">
        <v>67</v>
      </c>
      <c r="B71" s="26" t="s">
        <v>462</v>
      </c>
      <c r="C71" s="26" t="s">
        <v>445</v>
      </c>
      <c r="D71" s="27" t="s">
        <v>171</v>
      </c>
      <c r="E71" s="27" t="s">
        <v>463</v>
      </c>
      <c r="F71" s="28" t="s">
        <v>313</v>
      </c>
      <c r="G71" s="27" t="s">
        <v>76</v>
      </c>
      <c r="H71" s="26" t="s">
        <v>452</v>
      </c>
      <c r="I71" s="26" t="s">
        <v>453</v>
      </c>
    </row>
    <row r="72" customFormat="false" ht="25.5" hidden="false" customHeight="true" outlineLevel="0" collapsed="false">
      <c r="A72" s="26" t="n">
        <v>68</v>
      </c>
      <c r="B72" s="26" t="s">
        <v>464</v>
      </c>
      <c r="C72" s="26" t="s">
        <v>445</v>
      </c>
      <c r="D72" s="27" t="s">
        <v>171</v>
      </c>
      <c r="E72" s="27" t="s">
        <v>465</v>
      </c>
      <c r="F72" s="28" t="s">
        <v>313</v>
      </c>
      <c r="G72" s="27" t="s">
        <v>76</v>
      </c>
      <c r="H72" s="26" t="s">
        <v>459</v>
      </c>
      <c r="I72" s="26" t="s">
        <v>308</v>
      </c>
    </row>
    <row r="73" customFormat="false" ht="25.5" hidden="false" customHeight="true" outlineLevel="0" collapsed="false">
      <c r="A73" s="26" t="n">
        <v>69</v>
      </c>
      <c r="B73" s="26" t="s">
        <v>466</v>
      </c>
      <c r="C73" s="26" t="s">
        <v>445</v>
      </c>
      <c r="D73" s="27" t="s">
        <v>174</v>
      </c>
      <c r="E73" s="27" t="s">
        <v>467</v>
      </c>
      <c r="F73" s="28" t="s">
        <v>313</v>
      </c>
      <c r="G73" s="27" t="s">
        <v>76</v>
      </c>
      <c r="H73" s="26" t="s">
        <v>447</v>
      </c>
      <c r="I73" s="26" t="s">
        <v>308</v>
      </c>
    </row>
    <row r="74" customFormat="false" ht="25.5" hidden="false" customHeight="true" outlineLevel="0" collapsed="false">
      <c r="A74" s="26" t="n">
        <v>70</v>
      </c>
      <c r="B74" s="26" t="s">
        <v>468</v>
      </c>
      <c r="C74" s="26" t="s">
        <v>445</v>
      </c>
      <c r="D74" s="27" t="s">
        <v>174</v>
      </c>
      <c r="E74" s="27" t="s">
        <v>469</v>
      </c>
      <c r="F74" s="28" t="s">
        <v>313</v>
      </c>
      <c r="G74" s="27" t="s">
        <v>76</v>
      </c>
      <c r="H74" s="26" t="s">
        <v>453</v>
      </c>
      <c r="I74" s="26" t="s">
        <v>308</v>
      </c>
    </row>
    <row r="75" customFormat="false" ht="25.5" hidden="false" customHeight="true" outlineLevel="0" collapsed="false">
      <c r="A75" s="23" t="n">
        <v>71</v>
      </c>
      <c r="B75" s="23" t="s">
        <v>470</v>
      </c>
      <c r="C75" s="23" t="s">
        <v>199</v>
      </c>
      <c r="D75" s="24" t="s">
        <v>188</v>
      </c>
      <c r="E75" s="24" t="s">
        <v>471</v>
      </c>
      <c r="F75" s="25" t="s">
        <v>313</v>
      </c>
      <c r="G75" s="24" t="s">
        <v>76</v>
      </c>
      <c r="H75" s="23" t="s">
        <v>307</v>
      </c>
      <c r="I75" s="23" t="s">
        <v>447</v>
      </c>
    </row>
    <row r="76" customFormat="false" ht="25.5" hidden="false" customHeight="true" outlineLevel="0" collapsed="false">
      <c r="A76" s="26" t="n">
        <v>72</v>
      </c>
      <c r="B76" s="26" t="s">
        <v>472</v>
      </c>
      <c r="C76" s="26" t="s">
        <v>445</v>
      </c>
      <c r="D76" s="27" t="s">
        <v>188</v>
      </c>
      <c r="E76" s="27" t="s">
        <v>473</v>
      </c>
      <c r="F76" s="28" t="s">
        <v>313</v>
      </c>
      <c r="G76" s="27" t="s">
        <v>76</v>
      </c>
      <c r="H76" s="26" t="s">
        <v>452</v>
      </c>
      <c r="I76" s="26" t="s">
        <v>456</v>
      </c>
    </row>
    <row r="77" customFormat="false" ht="25.5" hidden="false" customHeight="true" outlineLevel="0" collapsed="false">
      <c r="A77" s="23" t="n">
        <v>73</v>
      </c>
      <c r="B77" s="23" t="s">
        <v>474</v>
      </c>
      <c r="C77" s="23" t="s">
        <v>199</v>
      </c>
      <c r="D77" s="24" t="s">
        <v>188</v>
      </c>
      <c r="E77" s="24" t="s">
        <v>475</v>
      </c>
      <c r="F77" s="25" t="s">
        <v>313</v>
      </c>
      <c r="G77" s="24" t="s">
        <v>76</v>
      </c>
      <c r="H77" s="23" t="s">
        <v>447</v>
      </c>
      <c r="I77" s="23" t="s">
        <v>308</v>
      </c>
    </row>
    <row r="78" customFormat="false" ht="25.5" hidden="false" customHeight="true" outlineLevel="0" collapsed="false">
      <c r="A78" s="23" t="n">
        <v>74</v>
      </c>
      <c r="B78" s="23" t="s">
        <v>476</v>
      </c>
      <c r="C78" s="23" t="s">
        <v>199</v>
      </c>
      <c r="D78" s="24" t="s">
        <v>188</v>
      </c>
      <c r="E78" s="24" t="s">
        <v>477</v>
      </c>
      <c r="F78" s="25" t="s">
        <v>313</v>
      </c>
      <c r="G78" s="24" t="s">
        <v>76</v>
      </c>
      <c r="H78" s="23" t="s">
        <v>456</v>
      </c>
      <c r="I78" s="23" t="s">
        <v>308</v>
      </c>
    </row>
    <row r="79" customFormat="false" ht="25.5" hidden="false" customHeight="true" outlineLevel="0" collapsed="false">
      <c r="A79" s="23" t="n">
        <v>75</v>
      </c>
      <c r="B79" s="23" t="s">
        <v>478</v>
      </c>
      <c r="C79" s="23" t="s">
        <v>199</v>
      </c>
      <c r="D79" s="24" t="s">
        <v>152</v>
      </c>
      <c r="E79" s="24" t="s">
        <v>479</v>
      </c>
      <c r="F79" s="25" t="s">
        <v>313</v>
      </c>
      <c r="G79" s="24" t="s">
        <v>76</v>
      </c>
      <c r="H79" s="23" t="s">
        <v>308</v>
      </c>
      <c r="I79" s="23" t="s">
        <v>310</v>
      </c>
    </row>
    <row r="80" customFormat="false" ht="25.5" hidden="false" customHeight="true" outlineLevel="0" collapsed="false">
      <c r="A80" s="26" t="n">
        <v>76</v>
      </c>
      <c r="B80" s="26" t="s">
        <v>480</v>
      </c>
      <c r="C80" s="26" t="s">
        <v>445</v>
      </c>
      <c r="D80" s="27" t="s">
        <v>174</v>
      </c>
      <c r="E80" s="27" t="s">
        <v>481</v>
      </c>
      <c r="F80" s="28" t="s">
        <v>313</v>
      </c>
      <c r="G80" s="27" t="s">
        <v>79</v>
      </c>
      <c r="H80" s="26" t="s">
        <v>310</v>
      </c>
      <c r="I80" s="26" t="s">
        <v>482</v>
      </c>
    </row>
    <row r="81" customFormat="false" ht="25.5" hidden="false" customHeight="true" outlineLevel="0" collapsed="false">
      <c r="A81" s="26" t="n">
        <v>77</v>
      </c>
      <c r="B81" s="26" t="s">
        <v>483</v>
      </c>
      <c r="C81" s="26" t="s">
        <v>445</v>
      </c>
      <c r="D81" s="27" t="s">
        <v>174</v>
      </c>
      <c r="E81" s="27" t="s">
        <v>484</v>
      </c>
      <c r="F81" s="28" t="s">
        <v>313</v>
      </c>
      <c r="G81" s="27" t="s">
        <v>79</v>
      </c>
      <c r="H81" s="26" t="s">
        <v>310</v>
      </c>
      <c r="I81" s="26" t="s">
        <v>485</v>
      </c>
    </row>
    <row r="82" customFormat="false" ht="25.5" hidden="false" customHeight="true" outlineLevel="0" collapsed="false">
      <c r="A82" s="26" t="n">
        <v>78</v>
      </c>
      <c r="B82" s="26" t="s">
        <v>486</v>
      </c>
      <c r="C82" s="26" t="s">
        <v>445</v>
      </c>
      <c r="D82" s="27" t="s">
        <v>174</v>
      </c>
      <c r="E82" s="27" t="s">
        <v>487</v>
      </c>
      <c r="F82" s="28" t="s">
        <v>313</v>
      </c>
      <c r="G82" s="27" t="s">
        <v>79</v>
      </c>
      <c r="H82" s="26" t="s">
        <v>488</v>
      </c>
      <c r="I82" s="26" t="s">
        <v>489</v>
      </c>
    </row>
    <row r="83" customFormat="false" ht="25.5" hidden="false" customHeight="true" outlineLevel="0" collapsed="false">
      <c r="A83" s="26" t="n">
        <v>79</v>
      </c>
      <c r="B83" s="26" t="s">
        <v>490</v>
      </c>
      <c r="C83" s="26" t="s">
        <v>445</v>
      </c>
      <c r="D83" s="27" t="s">
        <v>178</v>
      </c>
      <c r="E83" s="27" t="s">
        <v>491</v>
      </c>
      <c r="F83" s="28" t="s">
        <v>313</v>
      </c>
      <c r="G83" s="27" t="s">
        <v>79</v>
      </c>
      <c r="H83" s="26" t="s">
        <v>488</v>
      </c>
      <c r="I83" s="26" t="s">
        <v>485</v>
      </c>
    </row>
    <row r="84" customFormat="false" ht="25.5" hidden="false" customHeight="true" outlineLevel="0" collapsed="false">
      <c r="A84" s="26" t="n">
        <v>80</v>
      </c>
      <c r="B84" s="26" t="s">
        <v>492</v>
      </c>
      <c r="C84" s="26" t="s">
        <v>445</v>
      </c>
      <c r="D84" s="27" t="s">
        <v>178</v>
      </c>
      <c r="E84" s="27" t="s">
        <v>493</v>
      </c>
      <c r="F84" s="28" t="s">
        <v>313</v>
      </c>
      <c r="G84" s="27" t="s">
        <v>79</v>
      </c>
      <c r="H84" s="26" t="s">
        <v>494</v>
      </c>
      <c r="I84" s="26" t="s">
        <v>485</v>
      </c>
    </row>
    <row r="85" customFormat="false" ht="25.5" hidden="false" customHeight="true" outlineLevel="0" collapsed="false">
      <c r="A85" s="26" t="n">
        <v>81</v>
      </c>
      <c r="B85" s="26" t="s">
        <v>495</v>
      </c>
      <c r="C85" s="26" t="s">
        <v>445</v>
      </c>
      <c r="D85" s="27" t="s">
        <v>178</v>
      </c>
      <c r="E85" s="27" t="s">
        <v>496</v>
      </c>
      <c r="F85" s="28" t="s">
        <v>313</v>
      </c>
      <c r="G85" s="27" t="s">
        <v>79</v>
      </c>
      <c r="H85" s="26" t="s">
        <v>482</v>
      </c>
      <c r="I85" s="26" t="s">
        <v>309</v>
      </c>
    </row>
    <row r="86" customFormat="false" ht="25.5" hidden="false" customHeight="true" outlineLevel="0" collapsed="false">
      <c r="A86" s="26" t="n">
        <v>82</v>
      </c>
      <c r="B86" s="26" t="s">
        <v>497</v>
      </c>
      <c r="C86" s="26" t="s">
        <v>445</v>
      </c>
      <c r="D86" s="27" t="s">
        <v>178</v>
      </c>
      <c r="E86" s="27" t="s">
        <v>498</v>
      </c>
      <c r="F86" s="28" t="s">
        <v>313</v>
      </c>
      <c r="G86" s="27" t="s">
        <v>79</v>
      </c>
      <c r="H86" s="26" t="s">
        <v>494</v>
      </c>
      <c r="I86" s="26" t="s">
        <v>309</v>
      </c>
    </row>
    <row r="87" customFormat="false" ht="25.5" hidden="false" customHeight="true" outlineLevel="0" collapsed="false">
      <c r="A87" s="26" t="n">
        <v>83</v>
      </c>
      <c r="B87" s="26" t="s">
        <v>499</v>
      </c>
      <c r="C87" s="26" t="s">
        <v>445</v>
      </c>
      <c r="D87" s="27" t="s">
        <v>178</v>
      </c>
      <c r="E87" s="27" t="s">
        <v>500</v>
      </c>
      <c r="F87" s="28" t="s">
        <v>313</v>
      </c>
      <c r="G87" s="27" t="s">
        <v>79</v>
      </c>
      <c r="H87" s="26" t="s">
        <v>489</v>
      </c>
      <c r="I87" s="26" t="s">
        <v>309</v>
      </c>
    </row>
    <row r="88" customFormat="false" ht="25.5" hidden="false" customHeight="true" outlineLevel="0" collapsed="false">
      <c r="A88" s="26" t="n">
        <v>84</v>
      </c>
      <c r="B88" s="26" t="s">
        <v>501</v>
      </c>
      <c r="C88" s="26" t="s">
        <v>445</v>
      </c>
      <c r="D88" s="27" t="s">
        <v>181</v>
      </c>
      <c r="E88" s="27" t="s">
        <v>502</v>
      </c>
      <c r="F88" s="28" t="s">
        <v>313</v>
      </c>
      <c r="G88" s="27" t="s">
        <v>79</v>
      </c>
      <c r="H88" s="26" t="s">
        <v>482</v>
      </c>
      <c r="I88" s="26" t="s">
        <v>309</v>
      </c>
    </row>
    <row r="89" customFormat="false" ht="25.5" hidden="false" customHeight="true" outlineLevel="0" collapsed="false">
      <c r="A89" s="23" t="n">
        <v>85</v>
      </c>
      <c r="B89" s="23" t="s">
        <v>503</v>
      </c>
      <c r="C89" s="23" t="s">
        <v>199</v>
      </c>
      <c r="D89" s="24" t="s">
        <v>181</v>
      </c>
      <c r="E89" s="24" t="s">
        <v>504</v>
      </c>
      <c r="F89" s="25" t="s">
        <v>313</v>
      </c>
      <c r="G89" s="24" t="s">
        <v>79</v>
      </c>
      <c r="H89" s="23" t="s">
        <v>482</v>
      </c>
      <c r="I89" s="23" t="s">
        <v>485</v>
      </c>
    </row>
    <row r="90" customFormat="false" ht="25.5" hidden="false" customHeight="true" outlineLevel="0" collapsed="false">
      <c r="A90" s="26" t="n">
        <v>86</v>
      </c>
      <c r="B90" s="26" t="s">
        <v>505</v>
      </c>
      <c r="C90" s="26" t="s">
        <v>445</v>
      </c>
      <c r="D90" s="27" t="s">
        <v>185</v>
      </c>
      <c r="E90" s="27" t="s">
        <v>506</v>
      </c>
      <c r="F90" s="28" t="s">
        <v>313</v>
      </c>
      <c r="G90" s="27" t="s">
        <v>79</v>
      </c>
      <c r="H90" s="26" t="s">
        <v>310</v>
      </c>
      <c r="I90" s="26" t="s">
        <v>494</v>
      </c>
    </row>
    <row r="91" customFormat="false" ht="25.5" hidden="false" customHeight="true" outlineLevel="0" collapsed="false">
      <c r="A91" s="26" t="n">
        <v>87</v>
      </c>
      <c r="B91" s="26" t="s">
        <v>507</v>
      </c>
      <c r="C91" s="26" t="s">
        <v>445</v>
      </c>
      <c r="D91" s="27" t="s">
        <v>185</v>
      </c>
      <c r="E91" s="27" t="s">
        <v>508</v>
      </c>
      <c r="F91" s="28" t="s">
        <v>313</v>
      </c>
      <c r="G91" s="27" t="s">
        <v>79</v>
      </c>
      <c r="H91" s="26" t="s">
        <v>488</v>
      </c>
      <c r="I91" s="26" t="s">
        <v>485</v>
      </c>
    </row>
    <row r="92" customFormat="false" ht="25.5" hidden="false" customHeight="true" outlineLevel="0" collapsed="false">
      <c r="A92" s="26" t="n">
        <v>88</v>
      </c>
      <c r="B92" s="26" t="s">
        <v>509</v>
      </c>
      <c r="C92" s="26" t="s">
        <v>445</v>
      </c>
      <c r="D92" s="27" t="s">
        <v>185</v>
      </c>
      <c r="E92" s="27" t="s">
        <v>510</v>
      </c>
      <c r="F92" s="28" t="s">
        <v>313</v>
      </c>
      <c r="G92" s="27" t="s">
        <v>79</v>
      </c>
      <c r="H92" s="26" t="s">
        <v>482</v>
      </c>
      <c r="I92" s="26" t="s">
        <v>309</v>
      </c>
    </row>
    <row r="93" customFormat="false" ht="25.5" hidden="false" customHeight="true" outlineLevel="0" collapsed="false">
      <c r="A93" s="23" t="n">
        <v>89</v>
      </c>
      <c r="B93" s="23" t="s">
        <v>511</v>
      </c>
      <c r="C93" s="23" t="s">
        <v>199</v>
      </c>
      <c r="D93" s="24" t="s">
        <v>191</v>
      </c>
      <c r="E93" s="24" t="s">
        <v>512</v>
      </c>
      <c r="F93" s="25" t="s">
        <v>313</v>
      </c>
      <c r="G93" s="24" t="s">
        <v>79</v>
      </c>
      <c r="H93" s="23" t="s">
        <v>494</v>
      </c>
      <c r="I93" s="23" t="s">
        <v>309</v>
      </c>
    </row>
    <row r="94" customFormat="false" ht="25.5" hidden="false" customHeight="true" outlineLevel="0" collapsed="false">
      <c r="A94" s="23" t="n">
        <v>90</v>
      </c>
      <c r="B94" s="23" t="s">
        <v>513</v>
      </c>
      <c r="C94" s="23" t="s">
        <v>199</v>
      </c>
      <c r="D94" s="24" t="s">
        <v>191</v>
      </c>
      <c r="E94" s="24" t="s">
        <v>514</v>
      </c>
      <c r="F94" s="25" t="s">
        <v>313</v>
      </c>
      <c r="G94" s="24" t="s">
        <v>79</v>
      </c>
      <c r="H94" s="23" t="s">
        <v>489</v>
      </c>
      <c r="I94" s="23" t="s">
        <v>309</v>
      </c>
    </row>
    <row r="95" customFormat="false" ht="25.5" hidden="false" customHeight="true" outlineLevel="0" collapsed="false">
      <c r="A95" s="23" t="n">
        <v>91</v>
      </c>
      <c r="B95" s="23" t="s">
        <v>515</v>
      </c>
      <c r="C95" s="23" t="s">
        <v>199</v>
      </c>
      <c r="D95" s="24" t="s">
        <v>191</v>
      </c>
      <c r="E95" s="24" t="s">
        <v>516</v>
      </c>
      <c r="F95" s="25" t="s">
        <v>313</v>
      </c>
      <c r="G95" s="24" t="s">
        <v>79</v>
      </c>
      <c r="H95" s="23" t="s">
        <v>310</v>
      </c>
      <c r="I95" s="23" t="s">
        <v>494</v>
      </c>
    </row>
    <row r="96" customFormat="false" ht="25.5" hidden="false" customHeight="true" outlineLevel="0" collapsed="false">
      <c r="A96" s="23" t="n">
        <v>92</v>
      </c>
      <c r="B96" s="23" t="s">
        <v>517</v>
      </c>
      <c r="C96" s="23" t="s">
        <v>199</v>
      </c>
      <c r="D96" s="24" t="s">
        <v>191</v>
      </c>
      <c r="E96" s="24" t="s">
        <v>518</v>
      </c>
      <c r="F96" s="25" t="s">
        <v>313</v>
      </c>
      <c r="G96" s="24" t="s">
        <v>79</v>
      </c>
      <c r="H96" s="23" t="s">
        <v>482</v>
      </c>
      <c r="I96" s="23" t="s">
        <v>309</v>
      </c>
    </row>
    <row r="97" customFormat="false" ht="25.5" hidden="false" customHeight="true" outlineLevel="0" collapsed="false">
      <c r="A97" s="23" t="n">
        <v>93</v>
      </c>
      <c r="B97" s="23" t="s">
        <v>519</v>
      </c>
      <c r="C97" s="23" t="s">
        <v>199</v>
      </c>
      <c r="D97" s="24" t="s">
        <v>152</v>
      </c>
      <c r="E97" s="24" t="s">
        <v>520</v>
      </c>
      <c r="F97" s="25" t="s">
        <v>313</v>
      </c>
      <c r="G97" s="24" t="s">
        <v>79</v>
      </c>
      <c r="H97" s="23" t="s">
        <v>309</v>
      </c>
      <c r="I97" s="23" t="s">
        <v>521</v>
      </c>
    </row>
    <row r="98" customFormat="false" ht="25.5" hidden="false" customHeight="true" outlineLevel="0" collapsed="false">
      <c r="A98" s="23" t="n">
        <v>94</v>
      </c>
      <c r="B98" s="23" t="s">
        <v>522</v>
      </c>
      <c r="C98" s="23" t="s">
        <v>199</v>
      </c>
      <c r="D98" s="24" t="s">
        <v>191</v>
      </c>
      <c r="E98" s="24" t="s">
        <v>523</v>
      </c>
      <c r="F98" s="25" t="s">
        <v>313</v>
      </c>
      <c r="G98" s="24" t="s">
        <v>82</v>
      </c>
      <c r="H98" s="23" t="s">
        <v>521</v>
      </c>
      <c r="I98" s="23" t="s">
        <v>524</v>
      </c>
    </row>
    <row r="99" customFormat="false" ht="25.5" hidden="false" customHeight="true" outlineLevel="0" collapsed="false">
      <c r="A99" s="23" t="n">
        <v>95</v>
      </c>
      <c r="B99" s="23" t="s">
        <v>525</v>
      </c>
      <c r="C99" s="23" t="s">
        <v>199</v>
      </c>
      <c r="D99" s="24" t="s">
        <v>191</v>
      </c>
      <c r="E99" s="24" t="s">
        <v>526</v>
      </c>
      <c r="F99" s="25" t="s">
        <v>313</v>
      </c>
      <c r="G99" s="24" t="s">
        <v>82</v>
      </c>
      <c r="H99" s="23" t="s">
        <v>521</v>
      </c>
      <c r="I99" s="23" t="s">
        <v>527</v>
      </c>
    </row>
    <row r="100" customFormat="false" ht="25.5" hidden="false" customHeight="true" outlineLevel="0" collapsed="false">
      <c r="A100" s="23" t="n">
        <v>96</v>
      </c>
      <c r="B100" s="23" t="s">
        <v>528</v>
      </c>
      <c r="C100" s="23" t="s">
        <v>199</v>
      </c>
      <c r="D100" s="24" t="s">
        <v>191</v>
      </c>
      <c r="E100" s="24" t="s">
        <v>529</v>
      </c>
      <c r="F100" s="25" t="s">
        <v>313</v>
      </c>
      <c r="G100" s="24" t="s">
        <v>82</v>
      </c>
      <c r="H100" s="23" t="s">
        <v>527</v>
      </c>
      <c r="I100" s="23" t="s">
        <v>530</v>
      </c>
    </row>
    <row r="101" customFormat="false" ht="25.5" hidden="false" customHeight="true" outlineLevel="0" collapsed="false">
      <c r="A101" s="23" t="n">
        <v>97</v>
      </c>
      <c r="B101" s="23" t="s">
        <v>531</v>
      </c>
      <c r="C101" s="23" t="s">
        <v>199</v>
      </c>
      <c r="D101" s="24" t="s">
        <v>191</v>
      </c>
      <c r="E101" s="24" t="s">
        <v>532</v>
      </c>
      <c r="F101" s="25" t="s">
        <v>313</v>
      </c>
      <c r="G101" s="24" t="s">
        <v>82</v>
      </c>
      <c r="H101" s="23" t="s">
        <v>533</v>
      </c>
      <c r="I101" s="23" t="s">
        <v>305</v>
      </c>
    </row>
    <row r="102" customFormat="false" ht="25.5" hidden="false" customHeight="true" outlineLevel="0" collapsed="false">
      <c r="A102" s="23" t="n">
        <v>98</v>
      </c>
      <c r="B102" s="23" t="s">
        <v>534</v>
      </c>
      <c r="C102" s="23" t="s">
        <v>199</v>
      </c>
      <c r="D102" s="24" t="s">
        <v>191</v>
      </c>
      <c r="E102" s="24" t="s">
        <v>535</v>
      </c>
      <c r="F102" s="25" t="s">
        <v>313</v>
      </c>
      <c r="G102" s="24" t="s">
        <v>82</v>
      </c>
      <c r="H102" s="23" t="s">
        <v>533</v>
      </c>
      <c r="I102" s="23" t="s">
        <v>305</v>
      </c>
    </row>
    <row r="103" customFormat="false" ht="25.5" hidden="false" customHeight="true" outlineLevel="0" collapsed="false">
      <c r="A103" s="23" t="n">
        <v>99</v>
      </c>
      <c r="B103" s="23" t="s">
        <v>536</v>
      </c>
      <c r="C103" s="23" t="s">
        <v>199</v>
      </c>
      <c r="D103" s="24" t="s">
        <v>156</v>
      </c>
      <c r="E103" s="24" t="s">
        <v>537</v>
      </c>
      <c r="F103" s="25" t="s">
        <v>313</v>
      </c>
      <c r="G103" s="24" t="s">
        <v>82</v>
      </c>
      <c r="H103" s="23" t="s">
        <v>530</v>
      </c>
      <c r="I103" s="23" t="s">
        <v>305</v>
      </c>
    </row>
    <row r="104" customFormat="false" ht="25.5" hidden="false" customHeight="true" outlineLevel="0" collapsed="false">
      <c r="A104" s="23" t="n">
        <v>100</v>
      </c>
      <c r="B104" s="23" t="s">
        <v>538</v>
      </c>
      <c r="C104" s="23" t="s">
        <v>199</v>
      </c>
      <c r="D104" s="24" t="s">
        <v>152</v>
      </c>
      <c r="E104" s="24" t="s">
        <v>539</v>
      </c>
      <c r="F104" s="25" t="s">
        <v>313</v>
      </c>
      <c r="G104" s="24" t="s">
        <v>82</v>
      </c>
      <c r="H104" s="23" t="s">
        <v>305</v>
      </c>
      <c r="I104" s="23" t="s">
        <v>540</v>
      </c>
    </row>
    <row r="105" customFormat="false" ht="25.5" hidden="false" customHeight="true" outlineLevel="0" collapsed="false">
      <c r="A105" s="23" t="n">
        <v>101</v>
      </c>
      <c r="B105" s="23" t="s">
        <v>541</v>
      </c>
      <c r="C105" s="23" t="s">
        <v>199</v>
      </c>
      <c r="D105" s="24" t="s">
        <v>164</v>
      </c>
      <c r="E105" s="24" t="s">
        <v>542</v>
      </c>
      <c r="F105" s="25" t="s">
        <v>313</v>
      </c>
      <c r="G105" s="24" t="s">
        <v>85</v>
      </c>
      <c r="H105" s="23" t="s">
        <v>540</v>
      </c>
      <c r="I105" s="23" t="s">
        <v>543</v>
      </c>
    </row>
    <row r="106" customFormat="false" ht="25.5" hidden="false" customHeight="true" outlineLevel="0" collapsed="false">
      <c r="A106" s="23" t="n">
        <v>102</v>
      </c>
      <c r="B106" s="23" t="s">
        <v>544</v>
      </c>
      <c r="C106" s="23" t="s">
        <v>199</v>
      </c>
      <c r="D106" s="24" t="s">
        <v>160</v>
      </c>
      <c r="E106" s="24" t="s">
        <v>545</v>
      </c>
      <c r="F106" s="25" t="s">
        <v>313</v>
      </c>
      <c r="G106" s="24" t="s">
        <v>85</v>
      </c>
      <c r="H106" s="23" t="s">
        <v>540</v>
      </c>
      <c r="I106" s="23" t="s">
        <v>546</v>
      </c>
    </row>
    <row r="107" customFormat="false" ht="25.5" hidden="false" customHeight="true" outlineLevel="0" collapsed="false">
      <c r="A107" s="23" t="n">
        <v>103</v>
      </c>
      <c r="B107" s="23" t="s">
        <v>547</v>
      </c>
      <c r="C107" s="23" t="s">
        <v>199</v>
      </c>
      <c r="D107" s="24" t="s">
        <v>164</v>
      </c>
      <c r="E107" s="24" t="s">
        <v>548</v>
      </c>
      <c r="F107" s="25" t="s">
        <v>313</v>
      </c>
      <c r="G107" s="24" t="s">
        <v>85</v>
      </c>
      <c r="H107" s="23" t="s">
        <v>549</v>
      </c>
      <c r="I107" s="23" t="s">
        <v>546</v>
      </c>
    </row>
    <row r="108" customFormat="false" ht="25.5" hidden="false" customHeight="true" outlineLevel="0" collapsed="false">
      <c r="A108" s="23" t="n">
        <v>104</v>
      </c>
      <c r="B108" s="23" t="s">
        <v>550</v>
      </c>
      <c r="C108" s="23" t="s">
        <v>199</v>
      </c>
      <c r="D108" s="24" t="s">
        <v>188</v>
      </c>
      <c r="E108" s="24" t="s">
        <v>551</v>
      </c>
      <c r="F108" s="25" t="s">
        <v>313</v>
      </c>
      <c r="G108" s="24" t="s">
        <v>85</v>
      </c>
      <c r="H108" s="23" t="s">
        <v>549</v>
      </c>
      <c r="I108" s="23" t="s">
        <v>552</v>
      </c>
    </row>
    <row r="109" customFormat="false" ht="25.5" hidden="false" customHeight="true" outlineLevel="0" collapsed="false">
      <c r="A109" s="23" t="n">
        <v>105</v>
      </c>
      <c r="B109" s="23" t="s">
        <v>553</v>
      </c>
      <c r="C109" s="23" t="s">
        <v>199</v>
      </c>
      <c r="D109" s="24" t="s">
        <v>152</v>
      </c>
      <c r="E109" s="24" t="s">
        <v>554</v>
      </c>
      <c r="F109" s="25" t="s">
        <v>313</v>
      </c>
      <c r="G109" s="24" t="s">
        <v>85</v>
      </c>
      <c r="H109" s="23" t="s">
        <v>543</v>
      </c>
      <c r="I109" s="23" t="s">
        <v>303</v>
      </c>
    </row>
    <row r="110" customFormat="false" ht="25.5" hidden="false" customHeight="true" outlineLevel="0" collapsed="false">
      <c r="A110" s="23" t="n">
        <v>106</v>
      </c>
      <c r="B110" s="23" t="s">
        <v>555</v>
      </c>
      <c r="C110" s="23" t="s">
        <v>199</v>
      </c>
      <c r="D110" s="24" t="s">
        <v>152</v>
      </c>
      <c r="E110" s="24" t="s">
        <v>556</v>
      </c>
      <c r="F110" s="25" t="s">
        <v>313</v>
      </c>
      <c r="G110" s="24" t="s">
        <v>85</v>
      </c>
      <c r="H110" s="23" t="s">
        <v>546</v>
      </c>
      <c r="I110" s="23" t="s">
        <v>303</v>
      </c>
    </row>
    <row r="111" customFormat="false" ht="25.5" hidden="false" customHeight="true" outlineLevel="0" collapsed="false">
      <c r="A111" s="23" t="n">
        <v>107</v>
      </c>
      <c r="B111" s="23" t="s">
        <v>557</v>
      </c>
      <c r="C111" s="23" t="s">
        <v>199</v>
      </c>
      <c r="D111" s="24" t="s">
        <v>152</v>
      </c>
      <c r="E111" s="24" t="s">
        <v>558</v>
      </c>
      <c r="F111" s="29" t="s">
        <v>559</v>
      </c>
      <c r="G111" s="24" t="s">
        <v>85</v>
      </c>
      <c r="H111" s="23" t="s">
        <v>303</v>
      </c>
      <c r="I111" s="23" t="s">
        <v>560</v>
      </c>
    </row>
    <row r="112" customFormat="false" ht="25.5" hidden="false" customHeight="true" outlineLevel="0" collapsed="false">
      <c r="A112" s="23" t="n">
        <v>108</v>
      </c>
      <c r="B112" s="23" t="s">
        <v>561</v>
      </c>
      <c r="C112" s="23" t="s">
        <v>199</v>
      </c>
      <c r="D112" s="24" t="s">
        <v>191</v>
      </c>
      <c r="E112" s="24" t="s">
        <v>562</v>
      </c>
      <c r="F112" s="29" t="s">
        <v>559</v>
      </c>
      <c r="G112" s="24" t="s">
        <v>85</v>
      </c>
      <c r="H112" s="23" t="s">
        <v>560</v>
      </c>
      <c r="I112" s="23" t="s">
        <v>563</v>
      </c>
    </row>
    <row r="113" customFormat="false" ht="25.5" hidden="false" customHeight="true" outlineLevel="0" collapsed="false">
      <c r="A113" s="23" t="n">
        <v>109</v>
      </c>
      <c r="B113" s="23" t="s">
        <v>564</v>
      </c>
      <c r="C113" s="23" t="s">
        <v>199</v>
      </c>
      <c r="D113" s="24" t="s">
        <v>152</v>
      </c>
      <c r="E113" s="24" t="s">
        <v>565</v>
      </c>
      <c r="F113" s="29" t="s">
        <v>559</v>
      </c>
      <c r="G113" s="24" t="s">
        <v>85</v>
      </c>
      <c r="H113" s="23" t="s">
        <v>560</v>
      </c>
      <c r="I113" s="23" t="s">
        <v>566</v>
      </c>
    </row>
    <row r="114" customFormat="false" ht="25.5" hidden="false" customHeight="true" outlineLevel="0" collapsed="false">
      <c r="A114" s="23" t="n">
        <v>110</v>
      </c>
      <c r="B114" s="23" t="s">
        <v>567</v>
      </c>
      <c r="C114" s="23" t="s">
        <v>199</v>
      </c>
      <c r="D114" s="24" t="s">
        <v>191</v>
      </c>
      <c r="E114" s="24" t="s">
        <v>568</v>
      </c>
      <c r="F114" s="29" t="s">
        <v>559</v>
      </c>
      <c r="G114" s="24" t="s">
        <v>85</v>
      </c>
      <c r="H114" s="23" t="s">
        <v>569</v>
      </c>
      <c r="I114" s="23" t="s">
        <v>563</v>
      </c>
    </row>
    <row r="115" customFormat="false" ht="25.5" hidden="false" customHeight="true" outlineLevel="0" collapsed="false">
      <c r="A115" s="23" t="n">
        <v>111</v>
      </c>
      <c r="B115" s="23" t="s">
        <v>570</v>
      </c>
      <c r="C115" s="23" t="s">
        <v>199</v>
      </c>
      <c r="D115" s="24" t="s">
        <v>191</v>
      </c>
      <c r="E115" s="24" t="s">
        <v>571</v>
      </c>
      <c r="F115" s="29" t="s">
        <v>559</v>
      </c>
      <c r="G115" s="24" t="s">
        <v>85</v>
      </c>
      <c r="H115" s="23" t="s">
        <v>566</v>
      </c>
      <c r="I115" s="23" t="s">
        <v>572</v>
      </c>
    </row>
    <row r="116" customFormat="false" ht="25.5" hidden="false" customHeight="true" outlineLevel="0" collapsed="false">
      <c r="A116" s="23" t="n">
        <v>112</v>
      </c>
      <c r="B116" s="23" t="s">
        <v>573</v>
      </c>
      <c r="C116" s="23" t="s">
        <v>199</v>
      </c>
      <c r="D116" s="24" t="s">
        <v>191</v>
      </c>
      <c r="E116" s="24" t="s">
        <v>574</v>
      </c>
      <c r="F116" s="29" t="s">
        <v>559</v>
      </c>
      <c r="G116" s="24" t="s">
        <v>85</v>
      </c>
      <c r="H116" s="23" t="s">
        <v>575</v>
      </c>
      <c r="I116" s="23" t="s">
        <v>576</v>
      </c>
    </row>
    <row r="117" customFormat="false" ht="25.5" hidden="false" customHeight="true" outlineLevel="0" collapsed="false">
      <c r="A117" s="23" t="n">
        <v>113</v>
      </c>
      <c r="B117" s="23" t="s">
        <v>577</v>
      </c>
      <c r="C117" s="23" t="s">
        <v>199</v>
      </c>
      <c r="D117" s="24" t="s">
        <v>191</v>
      </c>
      <c r="E117" s="24" t="s">
        <v>578</v>
      </c>
      <c r="F117" s="29" t="s">
        <v>559</v>
      </c>
      <c r="G117" s="24" t="s">
        <v>85</v>
      </c>
      <c r="H117" s="23" t="s">
        <v>563</v>
      </c>
      <c r="I117" s="23" t="s">
        <v>579</v>
      </c>
    </row>
    <row r="118" customFormat="false" ht="25.5" hidden="false" customHeight="true" outlineLevel="0" collapsed="false">
      <c r="A118" s="23" t="n">
        <v>114</v>
      </c>
      <c r="B118" s="23" t="s">
        <v>580</v>
      </c>
      <c r="C118" s="23" t="s">
        <v>199</v>
      </c>
      <c r="D118" s="24" t="s">
        <v>191</v>
      </c>
      <c r="E118" s="24" t="s">
        <v>581</v>
      </c>
      <c r="F118" s="29" t="s">
        <v>559</v>
      </c>
      <c r="G118" s="24" t="s">
        <v>85</v>
      </c>
      <c r="H118" s="23" t="s">
        <v>579</v>
      </c>
      <c r="I118" s="23" t="s">
        <v>582</v>
      </c>
    </row>
    <row r="119" customFormat="false" ht="25.5" hidden="false" customHeight="true" outlineLevel="0" collapsed="false">
      <c r="A119" s="23" t="n">
        <v>115</v>
      </c>
      <c r="B119" s="23" t="s">
        <v>583</v>
      </c>
      <c r="C119" s="23" t="s">
        <v>199</v>
      </c>
      <c r="D119" s="24" t="s">
        <v>191</v>
      </c>
      <c r="E119" s="24" t="s">
        <v>584</v>
      </c>
      <c r="F119" s="29" t="s">
        <v>559</v>
      </c>
      <c r="G119" s="24" t="s">
        <v>85</v>
      </c>
      <c r="H119" s="23" t="s">
        <v>585</v>
      </c>
      <c r="I119" s="23" t="s">
        <v>586</v>
      </c>
    </row>
    <row r="120" customFormat="false" ht="25.5" hidden="false" customHeight="true" outlineLevel="0" collapsed="false">
      <c r="A120" s="23" t="n">
        <v>116</v>
      </c>
      <c r="B120" s="23" t="s">
        <v>587</v>
      </c>
      <c r="C120" s="23" t="s">
        <v>199</v>
      </c>
      <c r="D120" s="24" t="s">
        <v>191</v>
      </c>
      <c r="E120" s="24" t="s">
        <v>588</v>
      </c>
      <c r="F120" s="29" t="s">
        <v>559</v>
      </c>
      <c r="G120" s="24" t="s">
        <v>85</v>
      </c>
      <c r="H120" s="23" t="s">
        <v>582</v>
      </c>
      <c r="I120" s="23" t="s">
        <v>586</v>
      </c>
    </row>
    <row r="121" customFormat="false" ht="25.5" hidden="false" customHeight="true" outlineLevel="0" collapsed="false">
      <c r="A121" s="23" t="n">
        <v>117</v>
      </c>
      <c r="B121" s="23" t="s">
        <v>589</v>
      </c>
      <c r="C121" s="23" t="s">
        <v>199</v>
      </c>
      <c r="D121" s="24" t="s">
        <v>152</v>
      </c>
      <c r="E121" s="24" t="s">
        <v>590</v>
      </c>
      <c r="F121" s="29" t="s">
        <v>559</v>
      </c>
      <c r="G121" s="24" t="s">
        <v>85</v>
      </c>
      <c r="H121" s="23" t="s">
        <v>586</v>
      </c>
      <c r="I121" s="23" t="s">
        <v>591</v>
      </c>
    </row>
  </sheetData>
  <autoFilter ref="A4:I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2026-09-15T18:59:50Z</dcterms:created>
  <dc:creator>openpyxl</dc:creator>
  <dc:description/>
  <dc:language>en-US</dc:language>
  <cp:lastModifiedBy/>
  <dcterms:modified xsi:type="dcterms:W3CDTF">2026-09-15T18:59:51Z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