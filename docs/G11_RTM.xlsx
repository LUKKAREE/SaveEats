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Test Case Index" sheetId="2" state="visible" r:id="rId4"/>
    <sheet name="สรุปความครอบคลุม" sheetId="3" state="visible" r:id="rId5"/>
    <sheet name="คำอธิบายคอลัมน์" sheetId="4" state="visible" r:id="rId6"/>
  </sheets>
  <definedNames>
    <definedName function="false" hidden="false" localSheetId="0" name="_xlnm.Print_Titles" vbProcedure="false">RTM!$1:$1</definedName>
    <definedName function="false" hidden="true" localSheetId="0" name="_xlnm._FilterDatabase" vbProcedure="false">RTM!$A$1:$H$62</definedName>
    <definedName function="false" hidden="false" localSheetId="1" name="_xlnm.Print_Titles" vbProcedure="false">'Test Case Index'!$4:$4</definedName>
    <definedName function="false" hidden="true" localSheetId="1" name="_xlnm._FilterDatabase" vbProcedure="false">'Test Case Index'!$A$4:$F$65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<sst xmlns="http://schemas.openxmlformats.org/spreadsheetml/2006/main" count="1046" uniqueCount="475">
  <si>
    <t xml:space="preserve">Requirement ID</t>
  </si>
  <si>
    <t xml:space="preserve">Requirement Description</t>
  </si>
  <si>
    <t xml:space="preserve">Original Source</t>
  </si>
  <si>
    <t xml:space="preserve">Dependency /
Related Requirements</t>
  </si>
  <si>
    <t xml:space="preserve">Status</t>
  </si>
  <si>
    <t xml:space="preserve">Validation
Test Case ID</t>
  </si>
  <si>
    <t xml:space="preserve">Comments</t>
  </si>
  <si>
    <t xml:space="preserve">Category</t>
  </si>
  <si>
    <t xml:space="preserve">RQ-001</t>
  </si>
  <si>
    <t xml:space="preserve">ผู้ใช้สมัครสมาชิกด้วยอีเมลและรหัสผ่านได้</t>
  </si>
  <si>
    <t xml:space="preserve">User Stories #1</t>
  </si>
  <si>
    <t xml:space="preserve">-</t>
  </si>
  <si>
    <t xml:space="preserve">Approved</t>
  </si>
  <si>
    <t xml:space="preserve">TC-001</t>
  </si>
  <si>
    <t xml:space="preserve">ความต้องการพื้นฐานของระบบ ยืนยันกับผู้ใช้แล้วใน Sprint 2</t>
  </si>
  <si>
    <t xml:space="preserve">Authentication</t>
  </si>
  <si>
    <t xml:space="preserve">RQ-002</t>
  </si>
  <si>
    <t xml:space="preserve">ผู้ใช้สมัครสมาชิกด้วยเบอร์โทรศัพท์ได้</t>
  </si>
  <si>
    <t xml:space="preserve">Interview ร้านค้า #3</t>
  </si>
  <si>
    <t xml:space="preserve">TC-002</t>
  </si>
  <si>
    <t xml:space="preserve">ผู้ใช้กลุ่มร้านค้าส่วนใหญ่คุ้นกับการใช้เบอร์โทรมากกว่าอีเมล</t>
  </si>
  <si>
    <t xml:space="preserve">RQ-003</t>
  </si>
  <si>
    <t xml:space="preserve">ระบบตรวจสอบรูปแบบอีเมลและเบอร์โทรศัพท์ 10 หลักก่อนบันทึก</t>
  </si>
  <si>
    <t xml:space="preserve">Security Req #1</t>
  </si>
  <si>
    <t xml:space="preserve">RQ-001, RQ-002</t>
  </si>
  <si>
    <t xml:space="preserve">TC-003</t>
  </si>
  <si>
    <t xml:space="preserve">ตรวจทั้งฝั่งแอปและฝั่ง API เพื่อกันการข้ามการตรวจสอบ</t>
  </si>
  <si>
    <t xml:space="preserve">RQ-004</t>
  </si>
  <si>
    <t xml:space="preserve">รหัสผ่านต้องยาวอย่างน้อย 6 ตัวอักษร และเก็บในฐานข้อมูลแบบเข้ารหัส bcrypt</t>
  </si>
  <si>
    <t xml:space="preserve">Security Req #2</t>
  </si>
  <si>
    <t xml:space="preserve">TC-004</t>
  </si>
  <si>
    <t xml:space="preserve">ห้ามเก็บรหัสผ่านเป็นข้อความธรรมดาในทุกกรณี</t>
  </si>
  <si>
    <t xml:space="preserve">RQ-005</t>
  </si>
  <si>
    <t xml:space="preserve">ผู้ใช้เลือกบทบาทเป็นลูกค้าหรือร้านค้าได้ตอนสมัครสมาชิก</t>
  </si>
  <si>
    <t xml:space="preserve">User Stories #2</t>
  </si>
  <si>
    <t xml:space="preserve">TC-005</t>
  </si>
  <si>
    <t xml:space="preserve">บทบาทผู้ดูแลระบบสร้างจากฐานข้อมูลเท่านั้น สมัครเองไม่ได้</t>
  </si>
  <si>
    <t xml:space="preserve">RQ-006</t>
  </si>
  <si>
    <t xml:space="preserve">ผู้ใช้เข้าสู่ระบบด้วยอีเมลหรือเบอร์โทรศัพท์ในช่องเดียวกันได้</t>
  </si>
  <si>
    <t xml:space="preserve">User Stories #3</t>
  </si>
  <si>
    <t xml:space="preserve">TC-006</t>
  </si>
  <si>
    <t xml:space="preserve">ระบบแยกประเภทข้อมูลที่กรอกให้เองโดยผู้ใช้ไม่ต้องเลือก</t>
  </si>
  <si>
    <t xml:space="preserve">RQ-007</t>
  </si>
  <si>
    <t xml:space="preserve">ระบบออก JWT token พร้อมข้อมูลบทบาทหลังเข้าสู่ระบบสำเร็จ</t>
  </si>
  <si>
    <t xml:space="preserve">Design Decision (Sprint 4)</t>
  </si>
  <si>
    <t xml:space="preserve">TC-007</t>
  </si>
  <si>
    <t xml:space="preserve">อายุ token 7 วัน หมดอายุแล้วต้องเข้าสู่ระบบใหม่</t>
  </si>
  <si>
    <t xml:space="preserve">RQ-008</t>
  </si>
  <si>
    <t xml:space="preserve">ระบบจำสถานะการเข้าสู่ระบบไว้จนกว่าผู้ใช้จะกดออกจากระบบ</t>
  </si>
  <si>
    <t xml:space="preserve">User Stories #4</t>
  </si>
  <si>
    <t xml:space="preserve">TC-008</t>
  </si>
  <si>
    <t xml:space="preserve">ลดความยุ่งยากของผู้ใช้ที่เปิดแอปวันละหลายครั้ง</t>
  </si>
  <si>
    <t xml:space="preserve">RQ-009</t>
  </si>
  <si>
    <t xml:space="preserve">ผู้ใช้ขอรีเซ็ตรหัสผ่านด้วยอีเมลหรือเบอร์โทรที่ลงทะเบียนไว้ได้</t>
  </si>
  <si>
    <t xml:space="preserve">User Stories #5</t>
  </si>
  <si>
    <t xml:space="preserve">TC-009</t>
  </si>
  <si>
    <t xml:space="preserve">พบจากการทดสอบว่าเป็นปัญหาที่ผู้ใช้เจอบ่อยที่สุด</t>
  </si>
  <si>
    <t xml:space="preserve">RQ-010</t>
  </si>
  <si>
    <t xml:space="preserve">รหัสยืนยันการรีเซ็ตรหัสผ่านมีอายุ 15 นาที และใช้ได้เพียงครั้งเดียว</t>
  </si>
  <si>
    <t xml:space="preserve">Security Req #3</t>
  </si>
  <si>
    <t xml:space="preserve">TC-010</t>
  </si>
  <si>
    <t xml:space="preserve">เก็บในตาราง password_resets และล้างรหัสที่ใช้แล้วทันที</t>
  </si>
  <si>
    <t xml:space="preserve">RQ-011</t>
  </si>
  <si>
    <t xml:space="preserve">ผู้ใช้แก้ไขชื่อ เบอร์โทรศัพท์ และรูปโปรไฟล์ของตนเองได้</t>
  </si>
  <si>
    <t xml:space="preserve">User Stories #6</t>
  </si>
  <si>
    <t xml:space="preserve">TC-011</t>
  </si>
  <si>
    <t xml:space="preserve">รูปโปรไฟล์ไม่เกิน 5 MB รองรับ jpg และ png</t>
  </si>
  <si>
    <t xml:space="preserve">RQ-012</t>
  </si>
  <si>
    <t xml:space="preserve">ผู้ใช้เปลี่ยนรหัสผ่านได้โดยต้องยืนยันรหัสผ่านเดิมก่อน</t>
  </si>
  <si>
    <t xml:space="preserve">Security Req #4</t>
  </si>
  <si>
    <t xml:space="preserve">TC-012</t>
  </si>
  <si>
    <t xml:space="preserve">ป้องกันกรณีมีคนใช้เครื่องที่เปิดแอปค้างไว้</t>
  </si>
  <si>
    <t xml:space="preserve">RQ-013</t>
  </si>
  <si>
    <t xml:space="preserve">ระบบจำกัดสิทธิ์การเข้าถึงข้อมูลตามบทบาท customer / seller / admin</t>
  </si>
  <si>
    <t xml:space="preserve">Stakeholder #1</t>
  </si>
  <si>
    <t xml:space="preserve">TC-013</t>
  </si>
  <si>
    <t xml:space="preserve">ตรวจสอบที่ middleware ของ API ทุก endpoint</t>
  </si>
  <si>
    <t xml:space="preserve">RQ-014</t>
  </si>
  <si>
    <t xml:space="preserve">ร้านค้าลงทะเบียนร้านพร้อมชื่อร้าน ประเภท ที่อยู่ เบอร์ติดต่อ และรูปหน้าร้านได้</t>
  </si>
  <si>
    <t xml:space="preserve">Interview ร้านค้า #1</t>
  </si>
  <si>
    <t xml:space="preserve">TC-014</t>
  </si>
  <si>
    <t xml:space="preserve">ข้อมูลชุดนี้ได้จากการสัมภาษณ์ร้านอาหาร 5 ร้านใน Sprint 2</t>
  </si>
  <si>
    <t xml:space="preserve">Store Management</t>
  </si>
  <si>
    <t xml:space="preserve">RQ-015</t>
  </si>
  <si>
    <t xml:space="preserve">ร้านที่สมัครใหม่มีสถานะรออนุมัติ และยังไม่แสดงต่อลูกค้าจนกว่าผู้ดูแลระบบจะอนุมัติ</t>
  </si>
  <si>
    <t xml:space="preserve">Stakeholder #2</t>
  </si>
  <si>
    <t xml:space="preserve">RQ-014, RQ-048</t>
  </si>
  <si>
    <t xml:space="preserve">TC-015</t>
  </si>
  <si>
    <t xml:space="preserve">เพื่อคัดกรองคุณภาพร้านตามที่อาจารย์ที่ปรึกษาเสนอแนะ</t>
  </si>
  <si>
    <t xml:space="preserve">RQ-016</t>
  </si>
  <si>
    <t xml:space="preserve">ร้านค้าปักหมุดตำแหน่งร้านบนแผนที่และบันทึกพิกัด latitude/longitude ได้</t>
  </si>
  <si>
    <t xml:space="preserve">Interview ร้านค้า #2</t>
  </si>
  <si>
    <t xml:space="preserve">TC-016</t>
  </si>
  <si>
    <t xml:space="preserve">พิกัดนี้ใช้คำนวณระยะทางในฟีเจอร์ร้านใกล้ฉัน</t>
  </si>
  <si>
    <t xml:space="preserve">RQ-017</t>
  </si>
  <si>
    <t xml:space="preserve">ร้านค้ากำหนดเวลาเปิด-ปิดของร้านรายวันได้</t>
  </si>
  <si>
    <t xml:space="preserve">TC-017</t>
  </si>
  <si>
    <t xml:space="preserve">ร้านหลายแห่งเปิด-ปิดไม่เท่ากันในแต่ละวัน</t>
  </si>
  <si>
    <t xml:space="preserve">RQ-018</t>
  </si>
  <si>
    <t xml:space="preserve">ระบบแสดงสถานะเปิด/ปิดของร้านอัตโนมัติตามเวลาปัจจุบัน</t>
  </si>
  <si>
    <t xml:space="preserve">User Stories #8</t>
  </si>
  <si>
    <t xml:space="preserve">TC-018</t>
  </si>
  <si>
    <t xml:space="preserve">ลดกรณีลูกค้าเดินทางไปถึงแล้วร้านปิด</t>
  </si>
  <si>
    <t xml:space="preserve">RQ-019</t>
  </si>
  <si>
    <t xml:space="preserve">ร้านค้าดูรายการจองที่เข้ามาในแดชบอร์ดของร้านได้</t>
  </si>
  <si>
    <t xml:space="preserve">Interview ร้านค้า #4</t>
  </si>
  <si>
    <t xml:space="preserve">RQ-035</t>
  </si>
  <si>
    <t xml:space="preserve">In-Progress</t>
  </si>
  <si>
    <t xml:space="preserve">TC-019</t>
  </si>
  <si>
    <t xml:space="preserve">อยู่ระหว่างพัฒนาใน Sprint 6</t>
  </si>
  <si>
    <t xml:space="preserve">RQ-020</t>
  </si>
  <si>
    <t xml:space="preserve">ร้านค้าประกาศอาหารเหลือพร้อมชื่อ รายละเอียด ราคาเดิม ราคาลด จำนวน และช่วงเวลารับได้</t>
  </si>
  <si>
    <t xml:space="preserve">TC-020</t>
  </si>
  <si>
    <t xml:space="preserve">เป็นความต้องการหลักที่สุดของฝั่งร้านค้า</t>
  </si>
  <si>
    <t xml:space="preserve">Food Listing</t>
  </si>
  <si>
    <t xml:space="preserve">RQ-021</t>
  </si>
  <si>
    <t xml:space="preserve">ร้านค้าอัปโหลดรูปอาหารประกอบประกาศได้ ขนาดไม่เกิน 5 MB</t>
  </si>
  <si>
    <t xml:space="preserve">User Stories #10</t>
  </si>
  <si>
    <t xml:space="preserve">TC-021</t>
  </si>
  <si>
    <t xml:space="preserve">จากแบบสอบถามพบว่ารูปมีผลต่อการตัดสินใจซื้อมากที่สุด</t>
  </si>
  <si>
    <t xml:space="preserve">RQ-022</t>
  </si>
  <si>
    <t xml:space="preserve">ระบบคำนวณเปอร์เซ็นต์ส่วนลดจากราคาเดิมและราคาลดโดยอัตโนมัติ</t>
  </si>
  <si>
    <t xml:space="preserve">User Stories #11</t>
  </si>
  <si>
    <t xml:space="preserve">TC-022</t>
  </si>
  <si>
    <t xml:space="preserve">ร้านค้าไม่ต้องคำนวณเอง ลดความผิดพลาด</t>
  </si>
  <si>
    <t xml:space="preserve">RQ-023</t>
  </si>
  <si>
    <t xml:space="preserve">ประกาศอาหารหมดอายุอัตโนมัติเมื่อพ้นช่วงเวลารับที่ร้านกำหนด</t>
  </si>
  <si>
    <t xml:space="preserve">TC-023</t>
  </si>
  <si>
    <t xml:space="preserve">กันไม่ให้ลูกค้าจองอาหารที่เลยเวลารับไปแล้ว</t>
  </si>
  <si>
    <t xml:space="preserve">RQ-024</t>
  </si>
  <si>
    <t xml:space="preserve">ร้านค้าแก้ไขและลบประกาศที่ยังไม่มีผู้จองได้</t>
  </si>
  <si>
    <t xml:space="preserve">Interview ร้านค้า #5</t>
  </si>
  <si>
    <t xml:space="preserve">TC-024</t>
  </si>
  <si>
    <t xml:space="preserve">ประกาศที่มีคนจองแล้วห้ามลบ เพื่อรักษาสิทธิ์ของลูกค้า</t>
  </si>
  <si>
    <t xml:space="preserve">RQ-025</t>
  </si>
  <si>
    <t xml:space="preserve">ลูกค้าดูรายการอาหารที่ยังจองได้ในหน้าแรกของแอป</t>
  </si>
  <si>
    <t xml:space="preserve">Survey #1</t>
  </si>
  <si>
    <t xml:space="preserve">TC-025</t>
  </si>
  <si>
    <t xml:space="preserve">แสดงเฉพาะประกาศที่ยังไม่หมดอายุและมีจำนวนคงเหลือ</t>
  </si>
  <si>
    <t xml:space="preserve">RQ-026</t>
  </si>
  <si>
    <t xml:space="preserve">ลูกค้าค้นหาอาหารและร้านค้าด้วยคำค้นได้</t>
  </si>
  <si>
    <t xml:space="preserve">Survey #2</t>
  </si>
  <si>
    <t xml:space="preserve">TC-026</t>
  </si>
  <si>
    <t xml:space="preserve">Search &amp; Map</t>
  </si>
  <si>
    <t xml:space="preserve">RQ-027</t>
  </si>
  <si>
    <t xml:space="preserve">ลูกค้ากรองผลการค้นหาตามหมวดหมู่ ช่วงราคา และช่วงเวลารับได้</t>
  </si>
  <si>
    <t xml:space="preserve">Survey #3</t>
  </si>
  <si>
    <t xml:space="preserve">TC-027</t>
  </si>
  <si>
    <t xml:space="preserve">ช่วงราคาที่ผู้ตอบแบบสอบถามยอมรับได้คือ 20-80 บาท</t>
  </si>
  <si>
    <t xml:space="preserve">RQ-028</t>
  </si>
  <si>
    <t xml:space="preserve">ลูกค้าเรียงผลการค้นหาตามระยะทาง ราคา หรือส่วนลดได้</t>
  </si>
  <si>
    <t xml:space="preserve">Survey #4</t>
  </si>
  <si>
    <t xml:space="preserve">TC-028</t>
  </si>
  <si>
    <t xml:space="preserve">ค่าเริ่มต้นเรียงตามระยะทางจากใกล้ไปไกล</t>
  </si>
  <si>
    <t xml:space="preserve">RQ-029</t>
  </si>
  <si>
    <t xml:space="preserve">ลูกค้าดูร้านใกล้ตัวบนแผนที่พร้อมระยะทางเป็นกิโลเมตรได้</t>
  </si>
  <si>
    <t xml:space="preserve">Survey #5</t>
  </si>
  <si>
    <t xml:space="preserve">TC-029</t>
  </si>
  <si>
    <t xml:space="preserve">เป็นฟีเจอร์ที่ผู้ตอบแบบสอบถามให้ความสำคัญสูงสุด</t>
  </si>
  <si>
    <t xml:space="preserve">RQ-030</t>
  </si>
  <si>
    <t xml:space="preserve">ลูกค้าปรับรัศมีการค้นหาได้ 1 / 3 / 5 / 10 กิโลเมตร</t>
  </si>
  <si>
    <t xml:space="preserve">TC-030</t>
  </si>
  <si>
    <t xml:space="preserve">ระยะทางที่ผู้ตอบส่วนใหญ่ยอมเดินทางคือไม่เกิน 5 กม.</t>
  </si>
  <si>
    <t xml:space="preserve">RQ-031</t>
  </si>
  <si>
    <t xml:space="preserve">ระบบขออนุญาตเข้าถึงตำแหน่งของผู้ใช้ และยังใช้งานต่อได้เมื่อผู้ใช้ปฏิเสธ</t>
  </si>
  <si>
    <t xml:space="preserve">Security Req #5</t>
  </si>
  <si>
    <t xml:space="preserve">TC-031</t>
  </si>
  <si>
    <t xml:space="preserve">กรณีปฏิเสธให้แสดงรายการร้านทั้งหมดแทนการเรียงตามระยะทาง</t>
  </si>
  <si>
    <t xml:space="preserve">RQ-032</t>
  </si>
  <si>
    <t xml:space="preserve">ลูกค้าดูรายละเอียดร้านและรายการอาหารทั้งหมดของร้านนั้นได้</t>
  </si>
  <si>
    <t xml:space="preserve">User Stories #14</t>
  </si>
  <si>
    <t xml:space="preserve">TC-032</t>
  </si>
  <si>
    <t xml:space="preserve">มีปุ่มเปิดแผนที่นำทางไปยังร้าน</t>
  </si>
  <si>
    <t xml:space="preserve">RQ-033</t>
  </si>
  <si>
    <t xml:space="preserve">ลูกค้าจองอาหารโดยเลือกจำนวนได้ไม่เกินจำนวนคงเหลือ</t>
  </si>
  <si>
    <t xml:space="preserve">Survey #6</t>
  </si>
  <si>
    <t xml:space="preserve">TC-033</t>
  </si>
  <si>
    <t xml:space="preserve">หัวใจของระบบ อยู่ระหว่างพัฒนาใน Sprint 6</t>
  </si>
  <si>
    <t xml:space="preserve">Reservation</t>
  </si>
  <si>
    <t xml:space="preserve">RQ-034</t>
  </si>
  <si>
    <t xml:space="preserve">ระบบตัดจำนวนคงเหลือทันทีที่จองสำเร็จ และป้องกันการจองซ้อนเกินจำนวน</t>
  </si>
  <si>
    <t xml:space="preserve">TC-034</t>
  </si>
  <si>
    <t xml:space="preserve">ใช้ transaction ระดับฐานข้อมูลเพื่อกันการจองพร้อมกัน</t>
  </si>
  <si>
    <t xml:space="preserve">ระบบสร้างรายการจองพร้อมเวลาถือคิวตามที่ร้านกำหนด ค่าเริ่มต้น 60 นาที</t>
  </si>
  <si>
    <t xml:space="preserve">TC-035</t>
  </si>
  <si>
    <t xml:space="preserve">ร้านค้าขอให้มีเวลาถือคิว เพื่อไม่ให้ของค้างทั้งวัน</t>
  </si>
  <si>
    <t xml:space="preserve">RQ-036</t>
  </si>
  <si>
    <t xml:space="preserve">ระบบแสดงหมายเลขคิวและ QR Code ให้ลูกค้าทันทีหลังจองสำเร็จ</t>
  </si>
  <si>
    <t xml:space="preserve">User Stories #17</t>
  </si>
  <si>
    <t xml:space="preserve">TC-036</t>
  </si>
  <si>
    <t xml:space="preserve">QR ต้องเปิดดูซ้ำได้ตลอดเวลาที่คิวยังไม่หมดอายุ</t>
  </si>
  <si>
    <t xml:space="preserve">RQ-037</t>
  </si>
  <si>
    <t xml:space="preserve">ลูกค้าดูรายการจองที่กำลังดำเนินการและประวัติย้อนหลังได้</t>
  </si>
  <si>
    <t xml:space="preserve">User Stories #18</t>
  </si>
  <si>
    <t xml:space="preserve">TC-037</t>
  </si>
  <si>
    <t xml:space="preserve">แยกเป็น 2 แท็บเพื่อให้หาง่าย</t>
  </si>
  <si>
    <t xml:space="preserve">RQ-038</t>
  </si>
  <si>
    <t xml:space="preserve">ระบบแสดงเวลานับถอยหลังของเวลาถือคิวให้ลูกค้าเห็น</t>
  </si>
  <si>
    <t xml:space="preserve">Survey #7</t>
  </si>
  <si>
    <t xml:space="preserve">TC-038</t>
  </si>
  <si>
    <t xml:space="preserve">ผู้ทดสอบระบุว่าช่วยลดความกังวลเรื่องไปรับไม่ทัน</t>
  </si>
  <si>
    <t xml:space="preserve">RQ-039</t>
  </si>
  <si>
    <t xml:space="preserve">ลูกค้ายกเลิกการจองก่อนหมดเวลาได้ และระบบคืนจำนวนคงเหลือทันที</t>
  </si>
  <si>
    <t xml:space="preserve">Survey #8</t>
  </si>
  <si>
    <t xml:space="preserve">TC-039</t>
  </si>
  <si>
    <t xml:space="preserve">บันทึกเหตุผลการยกเลิกไว้เพื่อใช้วิเคราะห์ภายหลัง</t>
  </si>
  <si>
    <t xml:space="preserve">RQ-040</t>
  </si>
  <si>
    <t xml:space="preserve">ร้านค้าสแกน QR Code ของลูกค้าเพื่อยืนยันการส่งมอบอาหารได้</t>
  </si>
  <si>
    <t xml:space="preserve">TC-040</t>
  </si>
  <si>
    <t xml:space="preserve">เปลี่ยนสถานะเป็น Picked Up และบันทึกเวลารับจริง</t>
  </si>
  <si>
    <t xml:space="preserve">RQ-041</t>
  </si>
  <si>
    <t xml:space="preserve">ระบบตรวจสอบว่า QR เป็นของร้านนั้น ยังไม่ถูกใช้ และยังไม่หมดอายุ ก่อนยืนยัน</t>
  </si>
  <si>
    <t xml:space="preserve">Security Req #6</t>
  </si>
  <si>
    <t xml:space="preserve">TC-041</t>
  </si>
  <si>
    <t xml:space="preserve">แยกข้อความผิดพลาด 3 กรณีให้ร้านค้าเข้าใจได้ทันที</t>
  </si>
  <si>
    <t xml:space="preserve">RQ-042</t>
  </si>
  <si>
    <t xml:space="preserve">ระบบยกเลิกคิวอัตโนมัติเมื่อเลยเวลาถือคิว และคืนจำนวนคงเหลือให้ประกาศ</t>
  </si>
  <si>
    <t xml:space="preserve">TC-042</t>
  </si>
  <si>
    <t xml:space="preserve">งานเบื้องหลังตรวจสอบทุก 5 นาที</t>
  </si>
  <si>
    <t xml:space="preserve">RQ-043</t>
  </si>
  <si>
    <t xml:space="preserve">ลูกค้าเพิ่มและลบร้านโปรดได้จากทั้งหน้ารายการและหน้ารายละเอียดร้าน</t>
  </si>
  <si>
    <t xml:space="preserve">Survey #9</t>
  </si>
  <si>
    <t xml:space="preserve">TC-043</t>
  </si>
  <si>
    <t xml:space="preserve">สถานะหัวใจต้องตรงกันทุกหน้าจอ</t>
  </si>
  <si>
    <t xml:space="preserve">Favorites</t>
  </si>
  <si>
    <t xml:space="preserve">RQ-044</t>
  </si>
  <si>
    <t xml:space="preserve">ลูกค้าดูรายการร้านโปรดทั้งหมดในแท็บแยกได้</t>
  </si>
  <si>
    <t xml:space="preserve">TC-044</t>
  </si>
  <si>
    <t xml:space="preserve">เป็นแท็บที่ 4 ของเมนูล่างฝั่งลูกค้า</t>
  </si>
  <si>
    <t xml:space="preserve">RQ-045</t>
  </si>
  <si>
    <t xml:space="preserve">ระบบแจ้งเตือนลูกค้าเมื่อใกล้ถึงเวลาหมดอายุของคิว</t>
  </si>
  <si>
    <t xml:space="preserve">Survey #10</t>
  </si>
  <si>
    <t xml:space="preserve">Pending</t>
  </si>
  <si>
    <t xml:space="preserve">TC-045</t>
  </si>
  <si>
    <t xml:space="preserve">วางแผนพัฒนาใน Sprint 8 ยังไม่ยืนยันรูปแบบการแจ้งเตือน</t>
  </si>
  <si>
    <t xml:space="preserve">RQ-046</t>
  </si>
  <si>
    <t xml:space="preserve">ระบบแจ้งเตือนร้านค้าเมื่อมีการจองใหม่หรือมีการยกเลิก</t>
  </si>
  <si>
    <t xml:space="preserve">TC-046</t>
  </si>
  <si>
    <t xml:space="preserve">วางแผนพัฒนาใน Sprint 8 รอสรุปว่าจะใช้ push หรือแจ้งในแอป</t>
  </si>
  <si>
    <t xml:space="preserve">RQ-047</t>
  </si>
  <si>
    <t xml:space="preserve">ผู้ดูแลระบบเข้าสู่ระบบหลังบ้านได้เฉพาะบัญชีที่มีบทบาท admin</t>
  </si>
  <si>
    <t xml:space="preserve">TC-047</t>
  </si>
  <si>
    <t xml:space="preserve">บทบาทอื่นเข้าหน้านี้ไม่ได้แม้จะรู้ URL</t>
  </si>
  <si>
    <t xml:space="preserve">Admin Web</t>
  </si>
  <si>
    <t xml:space="preserve">RQ-048</t>
  </si>
  <si>
    <t xml:space="preserve">ผู้ดูแลระบบอนุมัติหรือปฏิเสธร้านค้าที่รออนุมัติพร้อมระบุเหตุผลได้</t>
  </si>
  <si>
    <t xml:space="preserve">TC-048</t>
  </si>
  <si>
    <t xml:space="preserve">เหตุผลที่ปฏิเสธจะถูกส่งกลับไปแสดงให้ร้านค้าเห็น</t>
  </si>
  <si>
    <t xml:space="preserve">RQ-049</t>
  </si>
  <si>
    <t xml:space="preserve">ผู้ดูแลระบบระงับร้านค้าที่มีปัญหาได้ และร้านที่ถูกระงับจะไม่แสดงต่อลูกค้า</t>
  </si>
  <si>
    <t xml:space="preserve">TC-049</t>
  </si>
  <si>
    <t xml:space="preserve">การระงับต้องไม่ลบข้อมูลเดิมของร้าน</t>
  </si>
  <si>
    <t xml:space="preserve">RQ-050</t>
  </si>
  <si>
    <t xml:space="preserve">ผู้ดูแลระบบดูและจัดการบัญชีผู้ใช้ทั้งหมดในระบบได้</t>
  </si>
  <si>
    <t xml:space="preserve">Stakeholder #3</t>
  </si>
  <si>
    <t xml:space="preserve">TC-050</t>
  </si>
  <si>
    <t xml:space="preserve">รวมถึงการค้นหาผู้ใช้ด้วยชื่อ อีเมล หรือเบอร์โทร</t>
  </si>
  <si>
    <t xml:space="preserve">RQ-051</t>
  </si>
  <si>
    <t xml:space="preserve">แดชบอร์ดแสดงจำนวนผู้ใช้ ร้านค้า ประกาศ และการจองในช่วงเวลาที่เลือก</t>
  </si>
  <si>
    <t xml:space="preserve">Stakeholder #4</t>
  </si>
  <si>
    <t xml:space="preserve">TC-051</t>
  </si>
  <si>
    <t xml:space="preserve">ช่วงเวลาเลือกได้ 7 วัน / 30 วัน / ทั้งหมด</t>
  </si>
  <si>
    <t xml:space="preserve">RQ-052</t>
  </si>
  <si>
    <t xml:space="preserve">แดชบอร์ดแสดงกราฟจำนวนการจองรายวัน</t>
  </si>
  <si>
    <t xml:space="preserve">TC-052</t>
  </si>
  <si>
    <t xml:space="preserve">รอข้อมูลการใช้งานจริงจาก UAT ก่อนกำหนดรูปแบบกราฟ</t>
  </si>
  <si>
    <t xml:space="preserve">RQ-053</t>
  </si>
  <si>
    <t xml:space="preserve">แดชบอร์ดแสดงปริมาณอาหารที่ถูกช่วยไม่ให้กลายเป็นขยะ</t>
  </si>
  <si>
    <t xml:space="preserve">อาจารย์ที่ปรึกษา</t>
  </si>
  <si>
    <t xml:space="preserve">TC-053</t>
  </si>
  <si>
    <t xml:space="preserve">เป็นตัวชี้วัดคุณค่าหลักของโครงงาน วางแผนทำใน Sprint 8</t>
  </si>
  <si>
    <t xml:space="preserve">RQ-054</t>
  </si>
  <si>
    <t xml:space="preserve">API ต้องตอบกลับภายใน 2 วินาทีในสภาวะการใช้งานปกติ</t>
  </si>
  <si>
    <t xml:space="preserve">Non-functional Req #1</t>
  </si>
  <si>
    <t xml:space="preserve">RQ-025, RQ-026</t>
  </si>
  <si>
    <t xml:space="preserve">TC-054</t>
  </si>
  <si>
    <t xml:space="preserve">วัดจากหน้ารายการอาหารและหน้าค้นหาซึ่งมีการอ่านข้อมูลมากที่สุด</t>
  </si>
  <si>
    <t xml:space="preserve">Non-functional</t>
  </si>
  <si>
    <t xml:space="preserve">RQ-055</t>
  </si>
  <si>
    <t xml:space="preserve">ระบบรองรับผู้ใช้งานพร้อมกันได้อย่างน้อย 50 คน</t>
  </si>
  <si>
    <t xml:space="preserve">Non-functional Req #2</t>
  </si>
  <si>
    <t xml:space="preserve">TC-055</t>
  </si>
  <si>
    <t xml:space="preserve">ทดสอบด้วยเครื่องมือจำลองผู้ใช้ใน Sprint 8</t>
  </si>
  <si>
    <t xml:space="preserve">RQ-056</t>
  </si>
  <si>
    <t xml:space="preserve">ข้อความแจ้งข้อผิดพลาดทุกจุดต้องเป็นภาษาไทยและบอกวิธีแก้ไข</t>
  </si>
  <si>
    <t xml:space="preserve">Non-functional Req #3</t>
  </si>
  <si>
    <t xml:space="preserve">TC-056</t>
  </si>
  <si>
    <t xml:space="preserve">พบจาก UAT รอบทดลองว่าผู้ใช้ไม่เข้าใจข้อความภาษาอังกฤษ</t>
  </si>
  <si>
    <t xml:space="preserve">RQ-057</t>
  </si>
  <si>
    <t xml:space="preserve">ระบบป้องกัน SQL Injection ด้วย prepared statement ในทุก query</t>
  </si>
  <si>
    <t xml:space="preserve">Security Req #7</t>
  </si>
  <si>
    <t xml:space="preserve">TC-057</t>
  </si>
  <si>
    <t xml:space="preserve">ตรวจสอบครบทุก endpoint แล้วใน Sprint 5</t>
  </si>
  <si>
    <t xml:space="preserve">RQ-058</t>
  </si>
  <si>
    <t xml:space="preserve">ระบบจำกัดจำนวนครั้งการพยายามเข้าสู่ระบบเพื่อป้องกันการเดารหัสผ่าน</t>
  </si>
  <si>
    <t xml:space="preserve">Security Req #8</t>
  </si>
  <si>
    <t xml:space="preserve">TC-058</t>
  </si>
  <si>
    <t xml:space="preserve">วางแผนเพิ่ม rate limit ใน Sprint 8</t>
  </si>
  <si>
    <t xml:space="preserve">RQ-059</t>
  </si>
  <si>
    <t xml:space="preserve">แอปมือถือต้องทำงานได้บน Android ผ่าน Expo Go SDK 54</t>
  </si>
  <si>
    <t xml:space="preserve">ข้อจำกัดด้านเทคนิค</t>
  </si>
  <si>
    <t xml:space="preserve">TC-059</t>
  </si>
  <si>
    <t xml:space="preserve">ต้องปิดการอัปเดตอัตโนมัติของ Expo Go เพื่อไม่ให้เวอร์ชันหลุด</t>
  </si>
  <si>
    <t xml:space="preserve">RQ-060</t>
  </si>
  <si>
    <t xml:space="preserve">ระบบต้องใช้งานส่วนอื่นได้ตามปกติแม้ยังไม่ได้ตั้งค่า Google Maps API Key</t>
  </si>
  <si>
    <t xml:space="preserve">TC-060</t>
  </si>
  <si>
    <t xml:space="preserve">หน้าแผนที่แสดงเป็นรายการเรียงตามระยะทางแทน</t>
  </si>
  <si>
    <t xml:space="preserve">RQ-061</t>
  </si>
  <si>
    <t xml:space="preserve">โค้ดทุกชุดต้องผ่าน CI Pipeline ครบ 3 job ก่อนรวมเข้า branch main</t>
  </si>
  <si>
    <t xml:space="preserve">ข้อกำหนดรายวิชา (คาบที่ 9)</t>
  </si>
  <si>
    <t xml:space="preserve">TC-061</t>
  </si>
  <si>
    <t xml:space="preserve">ตรวจอัตโนมัติด้วย GitHub Actions ทุกครั้งที่ push</t>
  </si>
  <si>
    <t xml:space="preserve">RQ-062</t>
  </si>
  <si>
    <t xml:space="preserve">ลูกค้าให้คะแนนดาวและเขียนรีวิวร้านได้ เฉพาะการจองที่รับอาหารเรียบร้อยแล้วและรีวิวซ้ำการจองเดิมไม่ได้</t>
  </si>
  <si>
    <t xml:space="preserve">ทีมพัฒนา — เพิ่มระหว่างพัฒนา</t>
  </si>
  <si>
    <t xml:space="preserve">TC-062</t>
  </si>
  <si>
    <t xml:space="preserve">เพิ่มหลังจากส่ง RTM ฉบับแรก ยังไม่ได้ย้อนกลับไปยืนยันกับผู้ใช้ ทดสอบผ่านแล้วในรอบ SIT</t>
  </si>
  <si>
    <t xml:space="preserve">Review</t>
  </si>
  <si>
    <t xml:space="preserve">RQ-063</t>
  </si>
  <si>
    <t xml:space="preserve">ระบบคำนวณคะแนนเฉลี่ยและจำนวนรีวิวของร้านใหม่ทุกครั้งที่มีรีวิวเพิ่มหรือถูกลบ</t>
  </si>
  <si>
    <t xml:space="preserve">TC-063</t>
  </si>
  <si>
    <t xml:space="preserve">ค่าที่คำนวณต้องตรงกันทั้งฝั่งลูกค้า ฝั่งร้าน และเว็บผู้ดูแลระบบ</t>
  </si>
  <si>
    <t xml:space="preserve">RQ-064</t>
  </si>
  <si>
    <t xml:space="preserve">ผู้ดูแลระบบลบรีวิวที่ไม่เหมาะสมออกจากระบบได้</t>
  </si>
  <si>
    <t xml:space="preserve">TC-064</t>
  </si>
  <si>
    <t xml:space="preserve">ลบแล้วคะแนนเฉลี่ยของร้านต้องคำนวณใหม่ทันที</t>
  </si>
  <si>
    <t xml:space="preserve">RQ-065</t>
  </si>
  <si>
    <t xml:space="preserve">ระบบให้คะแนนความประพฤติของร้านตามพฤติกรรม และระงับร้านอัตโนมัติเมื่อคะแนนต่ำกว่าเกณฑ์</t>
  </si>
  <si>
    <t xml:space="preserve">TC-065</t>
  </si>
  <si>
    <t xml:space="preserve">กติกาการเพิ่มลดคะแนนอยู่ที่ backend/src/services/behaviorScoreService.ts</t>
  </si>
  <si>
    <t xml:space="preserve">Behavior Score</t>
  </si>
  <si>
    <t xml:space="preserve">RQ-066</t>
  </si>
  <si>
    <t xml:space="preserve">ผู้ใช้แจ้งปัญหาเกี่ยวกับร้าน โพสต์ รีวิว การจอง หรือผู้ใช้รายอื่นได้ และแจ้งเรื่องเดิมซ้ำหรือแจ้งของตัวเองไม่ได้</t>
  </si>
  <si>
    <t xml:space="preserve">TC-066</t>
  </si>
  <si>
    <t xml:space="preserve">เพิ่มหลังจากส่ง RTM ฉบับแรก ยังไม่ได้ย้อนกลับไปยืนยันกับผู้ใช้</t>
  </si>
  <si>
    <t xml:space="preserve">Report</t>
  </si>
  <si>
    <t xml:space="preserve">RQ-067</t>
  </si>
  <si>
    <t xml:space="preserve">ผู้ดูแลระบบเปลี่ยนสถานะเรื่องที่แจ้งได้ และผู้แจ้งได้รับการแจ้งเตือนทุกครั้งที่สถานะเปลี่ยน</t>
  </si>
  <si>
    <t xml:space="preserve">TC-067</t>
  </si>
  <si>
    <t xml:space="preserve">ผู้แจ้งดูสถานะย้อนหลังได้จากหน้า เรื่องที่ฉันแจ้ง ในแอป</t>
  </si>
  <si>
    <t xml:space="preserve">RQ-068</t>
  </si>
  <si>
    <t xml:space="preserve">บันทึกภายในของผู้ดูแลระบบต้องไม่ถูกเปิดเผยต่อผู้ถูกแจ้ง โดยแยกจากข้อความที่ตั้งใจส่งถึงผู้ถูกแจ้ง</t>
  </si>
  <si>
    <t xml:space="preserve">TC-068</t>
  </si>
  <si>
    <t xml:space="preserve">ป้องกันการเปิดเผยตัวผู้แจ้ง ตรวจด้วยชุดทดสอบอัตโนมัติและรอบ SIT</t>
  </si>
  <si>
    <t xml:space="preserve">Status : Approved = ผู้ใช้ยืนยันแล้วและพัฒนาเสร็จ · In-Progress = อยู่ระหว่างพัฒนาหรือทดสอบ · Pending = ยืนยันแล้วแต่ยังไม่เริ่มพัฒนา</t>
  </si>
  <si>
    <t xml:space="preserve">คอลัมน์ Category เป็นคอลัมน์ที่กลุ่มเพิ่มเข้ามาเองเพื่อใช้วิเคราะห์ความครอบคลุม ไม่ได้อยู่ใน template ต้นฉบับ</t>
  </si>
  <si>
    <t xml:space="preserve">ดัชนี Test Case ที่ใช้ตรวจสอบความต้องการ</t>
  </si>
  <si>
    <t xml:space="preserve">เชื่อมโยงไปยังไฟล์ G11_SIT.xlsx (System Integration Test) และ G11_UAT.xlsx (User Acceptance Test)</t>
  </si>
  <si>
    <t xml:space="preserve">Test Case ID</t>
  </si>
  <si>
    <t xml:space="preserve">ชื่อ Test Scenario</t>
  </si>
  <si>
    <t xml:space="preserve">ประเภทการทดสอบ</t>
  </si>
  <si>
    <t xml:space="preserve">ผลการทดสอบล่าสุด</t>
  </si>
  <si>
    <t xml:space="preserve">หมายเหตุ</t>
  </si>
  <si>
    <t xml:space="preserve">ตรวจสอบว่า ผู้ใช้สมัครสมาชิกด้วยอีเมลและรหัสผ่านได้</t>
  </si>
  <si>
    <t xml:space="preserve">SIT + UAT</t>
  </si>
  <si>
    <t xml:space="preserve">ผ่าน</t>
  </si>
  <si>
    <t xml:space="preserve">ทดสอบผ่านแล้วในรอบ SIT</t>
  </si>
  <si>
    <t xml:space="preserve">ตรวจสอบว่า ผู้ใช้สมัครสมาชิกด้วยเบอร์โทรศัพท์ได้</t>
  </si>
  <si>
    <t xml:space="preserve">ตรวจสอบว่า ระบบตรวจสอบรูปแบบอีเมลและเบอร์โทรศัพท์ 10 หลักก่อนบันทึก</t>
  </si>
  <si>
    <t xml:space="preserve">ตรวจสอบว่า รหัสผ่านต้องยาวอย่างน้อย 6 ตัวอักษร และเก็บในฐานข้อมูลแบบเข้ารหัส bcrypt</t>
  </si>
  <si>
    <t xml:space="preserve">ตรวจสอบว่า ผู้ใช้เลือกบทบาทเป็นลูกค้าหรือร้านค้าได้ตอนสมัครสมาชิก</t>
  </si>
  <si>
    <t xml:space="preserve">ตรวจสอบว่า ผู้ใช้เข้าสู่ระบบด้วยอีเมลหรือเบอร์โทรศัพท์ในช่องเดียวกันได้</t>
  </si>
  <si>
    <t xml:space="preserve">ตรวจสอบว่า ระบบออก JWT token พร้อมข้อมูลบทบาทหลังเข้าสู่ระบบสำเร็จ</t>
  </si>
  <si>
    <t xml:space="preserve">ตรวจสอบว่า ระบบจำสถานะการเข้าสู่ระบบไว้จนกว่าผู้ใช้จะกดออกจากระบบ</t>
  </si>
  <si>
    <t xml:space="preserve">ตรวจสอบว่า ผู้ใช้ขอรีเซ็ตรหัสผ่านด้วยอีเมลหรือเบอร์โทรที่ลงทะเบียนไว้ได้</t>
  </si>
  <si>
    <t xml:space="preserve">ตรวจสอบว่า รหัสยืนยันการรีเซ็ตรหัสผ่านมีอายุ 15 นาที และใช้ได้เพียงครั้งเดียว</t>
  </si>
  <si>
    <t xml:space="preserve">ตรวจสอบว่า ผู้ใช้แก้ไขชื่อ เบอร์โทรศัพท์ และรูปโปรไฟล์ของตนเองได้</t>
  </si>
  <si>
    <t xml:space="preserve">ตรวจสอบว่า ผู้ใช้เปลี่ยนรหัสผ่านได้โดยต้องยืนยันรหัสผ่านเดิมก่อน</t>
  </si>
  <si>
    <t xml:space="preserve">ตรวจสอบว่า ระบบจำกัดสิทธิ์การเข้าถึงข้อมูลตามบทบาท customer / seller / admin</t>
  </si>
  <si>
    <t xml:space="preserve">ตรวจสอบว่า ร้านค้าลงทะเบียนร้านพร้อมชื่อร้าน ประเภท ที่อยู่ เบอร์ติดต่อ และรูปหน้าร้านได้</t>
  </si>
  <si>
    <t xml:space="preserve">ตรวจสอบว่า ร้านที่สมัครใหม่มีสถานะรออนุมัติ และยังไม่แสดงต่อลูกค้าจนกว่าผู้ดูแลระบบจะอนุมัติ</t>
  </si>
  <si>
    <t xml:space="preserve">ตรวจสอบว่า ร้านค้าปักหมุดตำแหน่งร้านบนแผนที่และบันทึกพิกัด latitude/longitude ได้</t>
  </si>
  <si>
    <t xml:space="preserve">ตรวจสอบว่า ร้านค้ากำหนดเวลาเปิด-ปิดของร้านรายวันได้</t>
  </si>
  <si>
    <t xml:space="preserve">ตรวจสอบว่า ระบบแสดงสถานะเปิด/ปิดของร้านอัตโนมัติตามเวลาปัจจุบัน</t>
  </si>
  <si>
    <t xml:space="preserve">ตรวจสอบว่า ร้านค้าดูรายการจองที่เข้ามาในแดชบอร์ดของร้านได้</t>
  </si>
  <si>
    <t xml:space="preserve">อยู่ระหว่างทดสอบ</t>
  </si>
  <si>
    <t xml:space="preserve">อยู่ในรอบ SIT ของ Sprint 6</t>
  </si>
  <si>
    <t xml:space="preserve">ตรวจสอบว่า ร้านค้าประกาศอาหารเหลือพร้อมชื่อ รายละเอียด ราคาเดิม ราคาลด จำนวน และช่วงเวลารับได้</t>
  </si>
  <si>
    <t xml:space="preserve">ตรวจสอบว่า ร้านค้าอัปโหลดรูปอาหารประกอบประกาศได้ ขนาดไม่เกิน 5 MB</t>
  </si>
  <si>
    <t xml:space="preserve">ตรวจสอบว่า ระบบคำนวณเปอร์เซ็นต์ส่วนลดจากราคาเดิมและราคาลดโดยอัตโนมัติ</t>
  </si>
  <si>
    <t xml:space="preserve">ตรวจสอบว่า ประกาศอาหารหมดอายุอัตโนมัติเมื่อพ้นช่วงเวลารับที่ร้านกำหนด</t>
  </si>
  <si>
    <t xml:space="preserve">ตรวจสอบว่า ร้านค้าแก้ไขและลบประกาศที่ยังไม่มีผู้จองได้</t>
  </si>
  <si>
    <t xml:space="preserve">ตรวจสอบว่า ลูกค้าดูรายการอาหารที่ยังจองได้ในหน้าแรกของแอป</t>
  </si>
  <si>
    <t xml:space="preserve">ตรวจสอบว่า ลูกค้าค้นหาอาหารและร้านค้าด้วยคำค้นได้</t>
  </si>
  <si>
    <t xml:space="preserve">ตรวจสอบว่า ลูกค้ากรองผลการค้นหาตามหมวดหมู่ ช่วงราคา และช่วงเวลารับได้</t>
  </si>
  <si>
    <t xml:space="preserve">ตรวจสอบว่า ลูกค้าเรียงผลการค้นหาตามระยะทาง ราคา หรือส่วนลดได้</t>
  </si>
  <si>
    <t xml:space="preserve">ตรวจสอบว่า ลูกค้าดูร้านใกล้ตัวบนแผนที่พร้อมระยะทางเป็นกิโลเมตรได้</t>
  </si>
  <si>
    <t xml:space="preserve">ตรวจสอบว่า ลูกค้าปรับรัศมีการค้นหาได้ 1 / 3 / 5 / 10 กิโลเมตร</t>
  </si>
  <si>
    <t xml:space="preserve">ตรวจสอบว่า ระบบขออนุญาตเข้าถึงตำแหน่งของผู้ใช้ และยังใช้งานต่อได้เมื่อผู้ใช้ปฏิเสธ</t>
  </si>
  <si>
    <t xml:space="preserve">ตรวจสอบว่า ลูกค้าดูรายละเอียดร้านและรายการอาหารทั้งหมดของร้านนั้นได้</t>
  </si>
  <si>
    <t xml:space="preserve">ตรวจสอบว่า ลูกค้าจองอาหารโดยเลือกจำนวนได้ไม่เกินจำนวนคงเหลือ</t>
  </si>
  <si>
    <t xml:space="preserve">ตรวจสอบว่า ระบบตัดจำนวนคงเหลือทันทีที่จองสำเร็จ และป้องกันการจองซ้อนเกินจำนวน</t>
  </si>
  <si>
    <t xml:space="preserve">ตรวจสอบว่า ระบบสร้างรายการจองพร้อมเวลาถือคิวตามที่ร้านกำหนด ค่าเริ่มต้น 60 นาที</t>
  </si>
  <si>
    <t xml:space="preserve">ตรวจสอบว่า ระบบแสดงหมายเลขคิวและ QR Code ให้ลูกค้าทันทีหลังจองสำเร็จ</t>
  </si>
  <si>
    <t xml:space="preserve">ตรวจสอบว่า ลูกค้าดูรายการจองที่กำลังดำเนินการและประวัติย้อนหลังได้</t>
  </si>
  <si>
    <t xml:space="preserve">ตรวจสอบว่า ระบบแสดงเวลานับถอยหลังของเวลาถือคิวให้ลูกค้าเห็น</t>
  </si>
  <si>
    <t xml:space="preserve">ตรวจสอบว่า ลูกค้ายกเลิกการจองก่อนหมดเวลาได้ และระบบคืนจำนวนคงเหลือทันที</t>
  </si>
  <si>
    <t xml:space="preserve">ตรวจสอบว่า ร้านค้าสแกน QR Code ของลูกค้าเพื่อยืนยันการส่งมอบอาหารได้</t>
  </si>
  <si>
    <t xml:space="preserve">ตรวจสอบว่า ระบบตรวจสอบว่า QR เป็นของร้านนั้น ยังไม่ถูกใช้ และยังไม่หมดอายุ ก่อนยืนยัน</t>
  </si>
  <si>
    <t xml:space="preserve">ตรวจสอบว่า ระบบยกเลิกคิวอัตโนมัติเมื่อเลยเวลาถือคิว และคืนจำนวนคงเหลือให้ประกาศ</t>
  </si>
  <si>
    <t xml:space="preserve">ตรวจสอบว่า ลูกค้าเพิ่มและลบร้านโปรดได้จากทั้งหน้ารายการและหน้ารายละเอียดร้าน</t>
  </si>
  <si>
    <t xml:space="preserve">ตรวจสอบว่า ลูกค้าดูรายการร้านโปรดทั้งหมดในแท็บแยกได้</t>
  </si>
  <si>
    <t xml:space="preserve">ตรวจสอบว่า ระบบแจ้งเตือนลูกค้าเมื่อใกล้ถึงเวลาหมดอายุของคิว</t>
  </si>
  <si>
    <t xml:space="preserve">รอทดสอบ</t>
  </si>
  <si>
    <t xml:space="preserve">จะทดสอบในรอบ UAT หลังพัฒนาเสร็จ</t>
  </si>
  <si>
    <t xml:space="preserve">ตรวจสอบว่า ระบบแจ้งเตือนร้านค้าเมื่อมีการจองใหม่หรือมีการยกเลิก</t>
  </si>
  <si>
    <t xml:space="preserve">ตรวจสอบว่า ผู้ดูแลระบบเข้าสู่ระบบหลังบ้านได้เฉพาะบัญชีที่มีบทบาท admin</t>
  </si>
  <si>
    <t xml:space="preserve">ตรวจสอบว่า ผู้ดูแลระบบอนุมัติหรือปฏิเสธร้านค้าที่รออนุมัติพร้อมระบุเหตุผลได้</t>
  </si>
  <si>
    <t xml:space="preserve">ตรวจสอบว่า ผู้ดูแลระบบระงับร้านค้าที่มีปัญหาได้ และร้านที่ถูกระงับจะไม่แสดงต่อลูกค้า</t>
  </si>
  <si>
    <t xml:space="preserve">ตรวจสอบว่า ผู้ดูแลระบบดูและจัดการบัญชีผู้ใช้ทั้งหมดในระบบได้</t>
  </si>
  <si>
    <t xml:space="preserve">ตรวจสอบว่า แดชบอร์ดแสดงจำนวนผู้ใช้ ร้านค้า ประกาศ และการจองในช่วงเวลาที่เลือก</t>
  </si>
  <si>
    <t xml:space="preserve">ตรวจสอบว่า แดชบอร์ดแสดงกราฟจำนวนการจองรายวัน</t>
  </si>
  <si>
    <t xml:space="preserve">ตรวจสอบว่า แดชบอร์ดแสดงปริมาณอาหารที่ถูกช่วยไม่ให้กลายเป็นขยะ</t>
  </si>
  <si>
    <t xml:space="preserve">ตรวจสอบว่า API ต้องตอบกลับภายใน 2 วินาทีในสภาวะการใช้งานปกติ</t>
  </si>
  <si>
    <t xml:space="preserve">SIT</t>
  </si>
  <si>
    <t xml:space="preserve">ตรวจสอบว่า ระบบรองรับผู้ใช้งานพร้อมกันได้อย่างน้อย 50 คน</t>
  </si>
  <si>
    <t xml:space="preserve">ตรวจสอบว่า ข้อความแจ้งข้อผิดพลาดทุกจุดต้องเป็นภาษาไทยและบอกวิธีแก้ไข</t>
  </si>
  <si>
    <t xml:space="preserve">ตรวจสอบว่า ระบบป้องกัน SQL Injection ด้วย prepared statement ในทุก query</t>
  </si>
  <si>
    <t xml:space="preserve">ตรวจสอบว่า ระบบจำกัดจำนวนครั้งการพยายามเข้าสู่ระบบเพื่อป้องกันการเดารหัสผ่าน</t>
  </si>
  <si>
    <t xml:space="preserve">ตรวจสอบว่า แอปมือถือต้องทำงานได้บน Android ผ่าน Expo Go SDK 54</t>
  </si>
  <si>
    <t xml:space="preserve">ตรวจสอบว่า ระบบต้องใช้งานส่วนอื่นได้ตามปกติแม้ยังไม่ได้ตั้งค่า Google Maps API Key</t>
  </si>
  <si>
    <t xml:space="preserve">ตรวจสอบว่า โค้ดทุกชุดต้องผ่าน CI Pipeline ครบ 3 job ก่อนรวมเข้า branch main</t>
  </si>
  <si>
    <t xml:space="preserve">ตรวจสอบว่า ลูกค้าให้คะแนนดาวและเขียนรีวิวร้านได้ เฉพาะการจองที่รับอาหารเรียบร้อยแล้วและรีวิ</t>
  </si>
  <si>
    <t xml:space="preserve">ตรวจสอบว่า ระบบคำนวณคะแนนเฉลี่ยและจำนวนรีวิวของร้านใหม่ทุกครั้งที่มีรีวิวเพิ่มหรือถูกลบ</t>
  </si>
  <si>
    <t xml:space="preserve">ตรวจสอบว่า ผู้ดูแลระบบลบรีวิวที่ไม่เหมาะสมออกจากระบบได้</t>
  </si>
  <si>
    <t xml:space="preserve">ตรวจสอบว่า ระบบให้คะแนนความประพฤติของร้านตามพฤติกรรม และระงับร้านอัตโนมัติเมื่อคะแนนต่ำกว่า</t>
  </si>
  <si>
    <t xml:space="preserve">ตรวจสอบว่า ผู้ใช้แจ้งปัญหาเกี่ยวกับร้าน โพสต์ รีวิว การจอง หรือผู้ใช้รายอื่นได้ และแจ้งเรื่</t>
  </si>
  <si>
    <t xml:space="preserve">ตรวจสอบว่า ผู้ดูแลระบบเปลี่ยนสถานะเรื่องที่แจ้งได้ และผู้แจ้งได้รับการแจ้งเตือนทุกครั้งที่ส</t>
  </si>
  <si>
    <t xml:space="preserve">ตรวจสอบว่า บันทึกภายในของผู้ดูแลระบบต้องไม่ถูกเปิดเผยต่อผู้ถูกแจ้ง โดยแยกจากข้อความที่ตั้งใ</t>
  </si>
  <si>
    <t xml:space="preserve">สรุปความครอบคลุมของความต้องการ (Coverage Summary)</t>
  </si>
  <si>
    <t xml:space="preserve">ทุกตัวเลขในหน้านี้คำนวณอัตโนมัติจากชีต RTM</t>
  </si>
  <si>
    <t xml:space="preserve">จำแนกตามสถานะ</t>
  </si>
  <si>
    <t xml:space="preserve">สถานะ</t>
  </si>
  <si>
    <t xml:space="preserve">จำนวน</t>
  </si>
  <si>
    <t xml:space="preserve">สัดส่วน</t>
  </si>
  <si>
    <t xml:space="preserve">ความหมาย</t>
  </si>
  <si>
    <t xml:space="preserve">ยืนยันกับผู้ใช้แล้วและพัฒนาเสร็จ</t>
  </si>
  <si>
    <t xml:space="preserve">อยู่ระหว่างพัฒนาหรือทดสอบ</t>
  </si>
  <si>
    <t xml:space="preserve">ยืนยันแล้วแต่ยังไม่เริ่มพัฒนา</t>
  </si>
  <si>
    <t xml:space="preserve">รวมทั้งหมด</t>
  </si>
  <si>
    <t xml:space="preserve">จำแนกตามหมวดหมู่</t>
  </si>
  <si>
    <t xml:space="preserve">หมวดหมู่</t>
  </si>
  <si>
    <t xml:space="preserve">จำนวนความต้องการ</t>
  </si>
  <si>
    <t xml:space="preserve">ยืนยันแล้ว (Approved)</t>
  </si>
  <si>
    <t xml:space="preserve">ยังไม่เสร็จ</t>
  </si>
  <si>
    <t xml:space="preserve">รวม</t>
  </si>
  <si>
    <t xml:space="preserve">ตัวชี้วัดการสอบกลับได้ (Traceability)</t>
  </si>
  <si>
    <t xml:space="preserve">ตัวชี้วัด</t>
  </si>
  <si>
    <t xml:space="preserve">ค่า</t>
  </si>
  <si>
    <t xml:space="preserve">เกณฑ์ที่ตั้งไว้</t>
  </si>
  <si>
    <t xml:space="preserve">ผลการประเมิน</t>
  </si>
  <si>
    <t xml:space="preserve">ความต้องการที่มี Test Case รองรับ</t>
  </si>
  <si>
    <t xml:space="preserve">100%</t>
  </si>
  <si>
    <t xml:space="preserve">ความต้องการที่ระบุแหล่งที่มาได้</t>
  </si>
  <si>
    <t xml:space="preserve">ความต้องการที่ผ่านการทดสอบแล้ว</t>
  </si>
  <si>
    <t xml:space="preserve">≥ 90% ก่อนส่งงาน</t>
  </si>
  <si>
    <t xml:space="preserve">หมายเหตุ : สัดส่วนความต้องการที่ผ่านการทดสอบจะเพิ่มขึ้นหลังจบรอบ SIT (3 ก.ย.) และ UAT (9 ก.ย.)</t>
  </si>
  <si>
    <t xml:space="preserve">คำอธิบายคอลัมน์และวิธีใช้เอกสารนี้</t>
  </si>
  <si>
    <t xml:space="preserve">คอลัมน์</t>
  </si>
  <si>
    <t xml:space="preserve">ตัวอย่าง</t>
  </si>
  <si>
    <t xml:space="preserve">รหัสอ้างอิงของความต้องการแต่ละข้อ ไม่ซ้ำกันทั้งเอกสาร ใช้อ้างอิงข้ามไปยัง SRS, SIT และ UAT</t>
  </si>
  <si>
    <t xml:space="preserve">คำอธิบายความต้องการแบบสั้น อ่านแล้วเข้าใจได้โดยไม่ต้องเปิดเอกสารอื่น</t>
  </si>
  <si>
    <t xml:space="preserve">แหล่งที่มาของความต้องการ ว่าได้มาจากผู้ใช้คนไหนหรือเอกสารใด ใช้สอบกลับได้เมื่อมีข้อสงสัย</t>
  </si>
  <si>
    <t xml:space="preserve">Dependency / Related Requirements</t>
  </si>
  <si>
    <t xml:space="preserve">ความต้องการอื่นที่ข้อนี้ต้องพึ่งพา ใช้ตรวจว่าถ้าแก้ข้อหนึ่งจะกระทบข้อใดบ้าง และช่วยกันความซ้ำซ้อน</t>
  </si>
  <si>
    <t xml:space="preserve">สถานะปัจจุบันของความต้องการ มี 3 ค่า คือ Approved, In-Progress และ Pending</t>
  </si>
  <si>
    <t xml:space="preserve">Validation Test Case ID</t>
  </si>
  <si>
    <t xml:space="preserve">รหัส Test Case ที่ใช้ตรวจสอบว่าความต้องการข้อนี้ถูกทำจริง ดูรายละเอียดในชีต Test Case Index</t>
  </si>
  <si>
    <t xml:space="preserve">บันทึกเพิ่มเติม เช่น เหตุผลที่เกิดความต้องการนี้ ข้อจำกัด หรือสิ่งที่ยังต้องตัดสินใจ</t>
  </si>
  <si>
    <t xml:space="preserve">หมวดหมู่ที่กลุ่มเพิ่มเข้ามาเองเพื่อใช้วิเคราะห์ความครอบคลุม ไม่ได้อยู่ใน template ต้นฉบับ</t>
  </si>
  <si>
    <t xml:space="preserve">วิธีใช้เอกสารนี้</t>
  </si>
  <si>
    <t xml:space="preserve">• เมื่อเพิ่มความต้องการใหม่ ให้ใช้รหัสถัดจากเลขสุดท้ายเสมอ ห้ามใช้รหัสเดิมซ้ำแม้ความต้องการเดิมจะถูกยกเลิกไปแล้ว</t>
  </si>
  <si>
    <t xml:space="preserve">• เมื่อความต้องการข้อใดเปลี่ยน ให้ไล่ดูคอลัมน์ Dependency ว่ามีข้ออื่นอ้างถึงหรือไม่ แล้วปรับตามให้ครบ</t>
  </si>
  <si>
    <t xml:space="preserve">• ทุกครั้งที่เขียน Test Case ใหม่ใน G11_SIT.xlsx หรือ G11_UAT.xlsx ต้องกลับมาใส่รหัสในคอลัมน์ Validation Test Case ID ด้วย</t>
  </si>
  <si>
    <t xml:space="preserve">• ก่อนส่งงานแต่ละรอบ ให้เปิดชีต 'สรุปความครอบคลุม' ตรวจว่าทุกความต้องการมี Test Case และมีแหล่งที่มาครบ 100%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</si>
</sst>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ahoma"/>
      <family val="2"/>
      <charset val="1"/>
    </font>
    <font>
      <b val="true"/>
      <sz val="9"/>
      <name val="Tahoma"/>
      <family val="0"/>
      <charset val="1"/>
    </font>
    <font>
      <sz val="9"/>
      <name val="Tahoma"/>
      <family val="0"/>
      <charset val="1"/>
    </font>
    <font>
      <i val="true"/>
      <sz val="9"/>
      <color rgb="FF404040"/>
      <name val="Tahoma"/>
      <family val="0"/>
      <charset val="1"/>
    </font>
    <font>
      <b val="true"/>
      <sz val="14"/>
      <color rgb="FFFFFFFF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2"/>
      <color rgb="FF1F3864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FCC99"/>
      </patternFill>
    </fill>
    <fill>
      <patternFill patternType="solid">
        <fgColor rgb="FFF2F2F2"/>
        <bgColor rgb="FFDDEBF7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2E75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4" activeCellId="0" sqref="K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62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6" min="5" style="1" width="13"/>
    <col collapsed="false" customWidth="true" hidden="false" outlineLevel="0" max="7" min="7" style="1" width="52"/>
    <col collapsed="false" customWidth="true" hidden="false" outlineLevel="0" max="8" min="8" style="1" width="18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31.5" hidden="false" customHeight="true" outlineLevel="0" collapsed="false">
      <c r="A2" s="3" t="s">
        <v>8</v>
      </c>
      <c r="B2" s="4" t="s">
        <v>9</v>
      </c>
      <c r="C2" s="5" t="s">
        <v>10</v>
      </c>
      <c r="D2" s="5" t="s">
        <v>11</v>
      </c>
      <c r="E2" s="6" t="s">
        <v>12</v>
      </c>
      <c r="F2" s="7" t="s">
        <v>13</v>
      </c>
      <c r="G2" s="4" t="s">
        <v>14</v>
      </c>
      <c r="H2" s="5" t="s">
        <v>15</v>
      </c>
    </row>
    <row r="3" customFormat="false" ht="31.5" hidden="false" customHeight="true" outlineLevel="0" collapsed="false">
      <c r="A3" s="3" t="s">
        <v>16</v>
      </c>
      <c r="B3" s="4" t="s">
        <v>17</v>
      </c>
      <c r="C3" s="5" t="s">
        <v>18</v>
      </c>
      <c r="D3" s="5" t="s">
        <v>8</v>
      </c>
      <c r="E3" s="6" t="s">
        <v>12</v>
      </c>
      <c r="F3" s="7" t="s">
        <v>19</v>
      </c>
      <c r="G3" s="4" t="s">
        <v>20</v>
      </c>
      <c r="H3" s="5" t="s">
        <v>15</v>
      </c>
    </row>
    <row r="4" customFormat="false" ht="31.5" hidden="false" customHeight="true" outlineLevel="0" collapsed="false">
      <c r="A4" s="3" t="s">
        <v>21</v>
      </c>
      <c r="B4" s="4" t="s">
        <v>22</v>
      </c>
      <c r="C4" s="5" t="s">
        <v>23</v>
      </c>
      <c r="D4" s="5" t="s">
        <v>24</v>
      </c>
      <c r="E4" s="6" t="s">
        <v>12</v>
      </c>
      <c r="F4" s="7" t="s">
        <v>25</v>
      </c>
      <c r="G4" s="4" t="s">
        <v>26</v>
      </c>
      <c r="H4" s="5" t="s">
        <v>15</v>
      </c>
    </row>
    <row r="5" customFormat="false" ht="31.5" hidden="false" customHeight="true" outlineLevel="0" collapsed="false">
      <c r="A5" s="3" t="s">
        <v>27</v>
      </c>
      <c r="B5" s="4" t="s">
        <v>28</v>
      </c>
      <c r="C5" s="5" t="s">
        <v>29</v>
      </c>
      <c r="D5" s="5" t="s">
        <v>8</v>
      </c>
      <c r="E5" s="6" t="s">
        <v>12</v>
      </c>
      <c r="F5" s="7" t="s">
        <v>30</v>
      </c>
      <c r="G5" s="4" t="s">
        <v>31</v>
      </c>
      <c r="H5" s="5" t="s">
        <v>15</v>
      </c>
    </row>
    <row r="6" customFormat="false" ht="31.5" hidden="false" customHeight="true" outlineLevel="0" collapsed="false">
      <c r="A6" s="3" t="s">
        <v>32</v>
      </c>
      <c r="B6" s="4" t="s">
        <v>33</v>
      </c>
      <c r="C6" s="5" t="s">
        <v>34</v>
      </c>
      <c r="D6" s="5" t="s">
        <v>8</v>
      </c>
      <c r="E6" s="6" t="s">
        <v>12</v>
      </c>
      <c r="F6" s="7" t="s">
        <v>35</v>
      </c>
      <c r="G6" s="4" t="s">
        <v>36</v>
      </c>
      <c r="H6" s="5" t="s">
        <v>15</v>
      </c>
    </row>
    <row r="7" customFormat="false" ht="31.5" hidden="false" customHeight="true" outlineLevel="0" collapsed="false">
      <c r="A7" s="3" t="s">
        <v>37</v>
      </c>
      <c r="B7" s="4" t="s">
        <v>38</v>
      </c>
      <c r="C7" s="5" t="s">
        <v>39</v>
      </c>
      <c r="D7" s="5" t="s">
        <v>24</v>
      </c>
      <c r="E7" s="6" t="s">
        <v>12</v>
      </c>
      <c r="F7" s="7" t="s">
        <v>40</v>
      </c>
      <c r="G7" s="4" t="s">
        <v>41</v>
      </c>
      <c r="H7" s="5" t="s">
        <v>15</v>
      </c>
    </row>
    <row r="8" customFormat="false" ht="31.5" hidden="false" customHeight="true" outlineLevel="0" collapsed="false">
      <c r="A8" s="3" t="s">
        <v>42</v>
      </c>
      <c r="B8" s="4" t="s">
        <v>43</v>
      </c>
      <c r="C8" s="5" t="s">
        <v>44</v>
      </c>
      <c r="D8" s="5" t="s">
        <v>37</v>
      </c>
      <c r="E8" s="6" t="s">
        <v>12</v>
      </c>
      <c r="F8" s="7" t="s">
        <v>45</v>
      </c>
      <c r="G8" s="4" t="s">
        <v>46</v>
      </c>
      <c r="H8" s="5" t="s">
        <v>15</v>
      </c>
    </row>
    <row r="9" customFormat="false" ht="31.5" hidden="false" customHeight="true" outlineLevel="0" collapsed="false">
      <c r="A9" s="3" t="s">
        <v>47</v>
      </c>
      <c r="B9" s="4" t="s">
        <v>48</v>
      </c>
      <c r="C9" s="5" t="s">
        <v>49</v>
      </c>
      <c r="D9" s="5" t="s">
        <v>42</v>
      </c>
      <c r="E9" s="6" t="s">
        <v>12</v>
      </c>
      <c r="F9" s="7" t="s">
        <v>50</v>
      </c>
      <c r="G9" s="4" t="s">
        <v>51</v>
      </c>
      <c r="H9" s="5" t="s">
        <v>15</v>
      </c>
    </row>
    <row r="10" customFormat="false" ht="31.5" hidden="false" customHeight="true" outlineLevel="0" collapsed="false">
      <c r="A10" s="3" t="s">
        <v>52</v>
      </c>
      <c r="B10" s="4" t="s">
        <v>53</v>
      </c>
      <c r="C10" s="5" t="s">
        <v>54</v>
      </c>
      <c r="D10" s="5" t="s">
        <v>24</v>
      </c>
      <c r="E10" s="6" t="s">
        <v>12</v>
      </c>
      <c r="F10" s="7" t="s">
        <v>55</v>
      </c>
      <c r="G10" s="4" t="s">
        <v>56</v>
      </c>
      <c r="H10" s="5" t="s">
        <v>15</v>
      </c>
    </row>
    <row r="11" customFormat="false" ht="31.5" hidden="false" customHeight="true" outlineLevel="0" collapsed="false">
      <c r="A11" s="3" t="s">
        <v>57</v>
      </c>
      <c r="B11" s="4" t="s">
        <v>58</v>
      </c>
      <c r="C11" s="5" t="s">
        <v>59</v>
      </c>
      <c r="D11" s="5" t="s">
        <v>52</v>
      </c>
      <c r="E11" s="6" t="s">
        <v>12</v>
      </c>
      <c r="F11" s="7" t="s">
        <v>60</v>
      </c>
      <c r="G11" s="4" t="s">
        <v>61</v>
      </c>
      <c r="H11" s="5" t="s">
        <v>15</v>
      </c>
    </row>
    <row r="12" customFormat="false" ht="31.5" hidden="false" customHeight="true" outlineLevel="0" collapsed="false">
      <c r="A12" s="3" t="s">
        <v>62</v>
      </c>
      <c r="B12" s="4" t="s">
        <v>63</v>
      </c>
      <c r="C12" s="5" t="s">
        <v>64</v>
      </c>
      <c r="D12" s="5" t="s">
        <v>37</v>
      </c>
      <c r="E12" s="6" t="s">
        <v>12</v>
      </c>
      <c r="F12" s="7" t="s">
        <v>65</v>
      </c>
      <c r="G12" s="4" t="s">
        <v>66</v>
      </c>
      <c r="H12" s="5" t="s">
        <v>15</v>
      </c>
    </row>
    <row r="13" customFormat="false" ht="31.5" hidden="false" customHeight="true" outlineLevel="0" collapsed="false">
      <c r="A13" s="3" t="s">
        <v>67</v>
      </c>
      <c r="B13" s="4" t="s">
        <v>68</v>
      </c>
      <c r="C13" s="5" t="s">
        <v>69</v>
      </c>
      <c r="D13" s="5" t="s">
        <v>62</v>
      </c>
      <c r="E13" s="6" t="s">
        <v>12</v>
      </c>
      <c r="F13" s="7" t="s">
        <v>70</v>
      </c>
      <c r="G13" s="4" t="s">
        <v>71</v>
      </c>
      <c r="H13" s="5" t="s">
        <v>15</v>
      </c>
    </row>
    <row r="14" customFormat="false" ht="31.5" hidden="false" customHeight="true" outlineLevel="0" collapsed="false">
      <c r="A14" s="3" t="s">
        <v>72</v>
      </c>
      <c r="B14" s="4" t="s">
        <v>73</v>
      </c>
      <c r="C14" s="5" t="s">
        <v>74</v>
      </c>
      <c r="D14" s="5" t="s">
        <v>42</v>
      </c>
      <c r="E14" s="6" t="s">
        <v>12</v>
      </c>
      <c r="F14" s="7" t="s">
        <v>75</v>
      </c>
      <c r="G14" s="4" t="s">
        <v>76</v>
      </c>
      <c r="H14" s="5" t="s">
        <v>15</v>
      </c>
    </row>
    <row r="15" customFormat="false" ht="31.5" hidden="false" customHeight="true" outlineLevel="0" collapsed="false">
      <c r="A15" s="3" t="s">
        <v>77</v>
      </c>
      <c r="B15" s="4" t="s">
        <v>78</v>
      </c>
      <c r="C15" s="5" t="s">
        <v>79</v>
      </c>
      <c r="D15" s="5" t="s">
        <v>32</v>
      </c>
      <c r="E15" s="6" t="s">
        <v>12</v>
      </c>
      <c r="F15" s="7" t="s">
        <v>80</v>
      </c>
      <c r="G15" s="4" t="s">
        <v>81</v>
      </c>
      <c r="H15" s="5" t="s">
        <v>82</v>
      </c>
    </row>
    <row r="16" customFormat="false" ht="31.5" hidden="false" customHeight="true" outlineLevel="0" collapsed="false">
      <c r="A16" s="3" t="s">
        <v>83</v>
      </c>
      <c r="B16" s="4" t="s">
        <v>84</v>
      </c>
      <c r="C16" s="5" t="s">
        <v>85</v>
      </c>
      <c r="D16" s="5" t="s">
        <v>86</v>
      </c>
      <c r="E16" s="6" t="s">
        <v>12</v>
      </c>
      <c r="F16" s="7" t="s">
        <v>87</v>
      </c>
      <c r="G16" s="4" t="s">
        <v>88</v>
      </c>
      <c r="H16" s="5" t="s">
        <v>82</v>
      </c>
    </row>
    <row r="17" customFormat="false" ht="31.5" hidden="false" customHeight="true" outlineLevel="0" collapsed="false">
      <c r="A17" s="3" t="s">
        <v>89</v>
      </c>
      <c r="B17" s="4" t="s">
        <v>90</v>
      </c>
      <c r="C17" s="5" t="s">
        <v>91</v>
      </c>
      <c r="D17" s="5" t="s">
        <v>77</v>
      </c>
      <c r="E17" s="6" t="s">
        <v>12</v>
      </c>
      <c r="F17" s="7" t="s">
        <v>92</v>
      </c>
      <c r="G17" s="4" t="s">
        <v>93</v>
      </c>
      <c r="H17" s="5" t="s">
        <v>82</v>
      </c>
    </row>
    <row r="18" customFormat="false" ht="31.5" hidden="false" customHeight="true" outlineLevel="0" collapsed="false">
      <c r="A18" s="3" t="s">
        <v>94</v>
      </c>
      <c r="B18" s="4" t="s">
        <v>95</v>
      </c>
      <c r="C18" s="5" t="s">
        <v>91</v>
      </c>
      <c r="D18" s="5" t="s">
        <v>77</v>
      </c>
      <c r="E18" s="6" t="s">
        <v>12</v>
      </c>
      <c r="F18" s="7" t="s">
        <v>96</v>
      </c>
      <c r="G18" s="4" t="s">
        <v>97</v>
      </c>
      <c r="H18" s="5" t="s">
        <v>82</v>
      </c>
    </row>
    <row r="19" customFormat="false" ht="31.5" hidden="false" customHeight="true" outlineLevel="0" collapsed="false">
      <c r="A19" s="3" t="s">
        <v>98</v>
      </c>
      <c r="B19" s="4" t="s">
        <v>99</v>
      </c>
      <c r="C19" s="5" t="s">
        <v>100</v>
      </c>
      <c r="D19" s="5" t="s">
        <v>94</v>
      </c>
      <c r="E19" s="6" t="s">
        <v>12</v>
      </c>
      <c r="F19" s="7" t="s">
        <v>101</v>
      </c>
      <c r="G19" s="4" t="s">
        <v>102</v>
      </c>
      <c r="H19" s="5" t="s">
        <v>82</v>
      </c>
    </row>
    <row r="20" customFormat="false" ht="31.5" hidden="false" customHeight="true" outlineLevel="0" collapsed="false">
      <c r="A20" s="3" t="s">
        <v>103</v>
      </c>
      <c r="B20" s="4" t="s">
        <v>104</v>
      </c>
      <c r="C20" s="5" t="s">
        <v>105</v>
      </c>
      <c r="D20" s="5" t="s">
        <v>106</v>
      </c>
      <c r="E20" s="8" t="s">
        <v>107</v>
      </c>
      <c r="F20" s="7" t="s">
        <v>108</v>
      </c>
      <c r="G20" s="4" t="s">
        <v>109</v>
      </c>
      <c r="H20" s="5" t="s">
        <v>82</v>
      </c>
    </row>
    <row r="21" customFormat="false" ht="31.5" hidden="false" customHeight="true" outlineLevel="0" collapsed="false">
      <c r="A21" s="3" t="s">
        <v>110</v>
      </c>
      <c r="B21" s="4" t="s">
        <v>111</v>
      </c>
      <c r="C21" s="5" t="s">
        <v>79</v>
      </c>
      <c r="D21" s="5" t="s">
        <v>77</v>
      </c>
      <c r="E21" s="6" t="s">
        <v>12</v>
      </c>
      <c r="F21" s="7" t="s">
        <v>112</v>
      </c>
      <c r="G21" s="4" t="s">
        <v>113</v>
      </c>
      <c r="H21" s="5" t="s">
        <v>114</v>
      </c>
    </row>
    <row r="22" customFormat="false" ht="31.5" hidden="false" customHeight="true" outlineLevel="0" collapsed="false">
      <c r="A22" s="3" t="s">
        <v>115</v>
      </c>
      <c r="B22" s="4" t="s">
        <v>116</v>
      </c>
      <c r="C22" s="5" t="s">
        <v>117</v>
      </c>
      <c r="D22" s="5" t="s">
        <v>110</v>
      </c>
      <c r="E22" s="6" t="s">
        <v>12</v>
      </c>
      <c r="F22" s="7" t="s">
        <v>118</v>
      </c>
      <c r="G22" s="4" t="s">
        <v>119</v>
      </c>
      <c r="H22" s="5" t="s">
        <v>114</v>
      </c>
    </row>
    <row r="23" customFormat="false" ht="31.5" hidden="false" customHeight="true" outlineLevel="0" collapsed="false">
      <c r="A23" s="3" t="s">
        <v>120</v>
      </c>
      <c r="B23" s="4" t="s">
        <v>121</v>
      </c>
      <c r="C23" s="5" t="s">
        <v>122</v>
      </c>
      <c r="D23" s="5" t="s">
        <v>110</v>
      </c>
      <c r="E23" s="6" t="s">
        <v>12</v>
      </c>
      <c r="F23" s="7" t="s">
        <v>123</v>
      </c>
      <c r="G23" s="4" t="s">
        <v>124</v>
      </c>
      <c r="H23" s="5" t="s">
        <v>114</v>
      </c>
    </row>
    <row r="24" customFormat="false" ht="31.5" hidden="false" customHeight="true" outlineLevel="0" collapsed="false">
      <c r="A24" s="3" t="s">
        <v>125</v>
      </c>
      <c r="B24" s="4" t="s">
        <v>126</v>
      </c>
      <c r="C24" s="5" t="s">
        <v>18</v>
      </c>
      <c r="D24" s="5" t="s">
        <v>110</v>
      </c>
      <c r="E24" s="6" t="s">
        <v>12</v>
      </c>
      <c r="F24" s="7" t="s">
        <v>127</v>
      </c>
      <c r="G24" s="4" t="s">
        <v>128</v>
      </c>
      <c r="H24" s="5" t="s">
        <v>114</v>
      </c>
    </row>
    <row r="25" customFormat="false" ht="31.5" hidden="false" customHeight="true" outlineLevel="0" collapsed="false">
      <c r="A25" s="3" t="s">
        <v>129</v>
      </c>
      <c r="B25" s="4" t="s">
        <v>130</v>
      </c>
      <c r="C25" s="5" t="s">
        <v>131</v>
      </c>
      <c r="D25" s="5" t="s">
        <v>110</v>
      </c>
      <c r="E25" s="6" t="s">
        <v>12</v>
      </c>
      <c r="F25" s="7" t="s">
        <v>132</v>
      </c>
      <c r="G25" s="4" t="s">
        <v>133</v>
      </c>
      <c r="H25" s="5" t="s">
        <v>114</v>
      </c>
    </row>
    <row r="26" customFormat="false" ht="31.5" hidden="false" customHeight="true" outlineLevel="0" collapsed="false">
      <c r="A26" s="3" t="s">
        <v>134</v>
      </c>
      <c r="B26" s="4" t="s">
        <v>135</v>
      </c>
      <c r="C26" s="5" t="s">
        <v>136</v>
      </c>
      <c r="D26" s="5" t="s">
        <v>110</v>
      </c>
      <c r="E26" s="6" t="s">
        <v>12</v>
      </c>
      <c r="F26" s="7" t="s">
        <v>137</v>
      </c>
      <c r="G26" s="4" t="s">
        <v>138</v>
      </c>
      <c r="H26" s="5" t="s">
        <v>114</v>
      </c>
    </row>
    <row r="27" customFormat="false" ht="31.5" hidden="false" customHeight="true" outlineLevel="0" collapsed="false">
      <c r="A27" s="3" t="s">
        <v>139</v>
      </c>
      <c r="B27" s="4" t="s">
        <v>140</v>
      </c>
      <c r="C27" s="5" t="s">
        <v>141</v>
      </c>
      <c r="D27" s="5" t="s">
        <v>134</v>
      </c>
      <c r="E27" s="8" t="s">
        <v>107</v>
      </c>
      <c r="F27" s="7" t="s">
        <v>142</v>
      </c>
      <c r="G27" s="4" t="s">
        <v>109</v>
      </c>
      <c r="H27" s="5" t="s">
        <v>143</v>
      </c>
    </row>
    <row r="28" customFormat="false" ht="31.5" hidden="false" customHeight="true" outlineLevel="0" collapsed="false">
      <c r="A28" s="3" t="s">
        <v>144</v>
      </c>
      <c r="B28" s="4" t="s">
        <v>145</v>
      </c>
      <c r="C28" s="5" t="s">
        <v>146</v>
      </c>
      <c r="D28" s="5" t="s">
        <v>139</v>
      </c>
      <c r="E28" s="8" t="s">
        <v>107</v>
      </c>
      <c r="F28" s="7" t="s">
        <v>147</v>
      </c>
      <c r="G28" s="4" t="s">
        <v>148</v>
      </c>
      <c r="H28" s="5" t="s">
        <v>143</v>
      </c>
    </row>
    <row r="29" customFormat="false" ht="31.5" hidden="false" customHeight="true" outlineLevel="0" collapsed="false">
      <c r="A29" s="3" t="s">
        <v>149</v>
      </c>
      <c r="B29" s="4" t="s">
        <v>150</v>
      </c>
      <c r="C29" s="5" t="s">
        <v>151</v>
      </c>
      <c r="D29" s="5" t="s">
        <v>139</v>
      </c>
      <c r="E29" s="8" t="s">
        <v>107</v>
      </c>
      <c r="F29" s="7" t="s">
        <v>152</v>
      </c>
      <c r="G29" s="4" t="s">
        <v>153</v>
      </c>
      <c r="H29" s="5" t="s">
        <v>143</v>
      </c>
    </row>
    <row r="30" customFormat="false" ht="31.5" hidden="false" customHeight="true" outlineLevel="0" collapsed="false">
      <c r="A30" s="3" t="s">
        <v>154</v>
      </c>
      <c r="B30" s="4" t="s">
        <v>155</v>
      </c>
      <c r="C30" s="5" t="s">
        <v>156</v>
      </c>
      <c r="D30" s="5" t="s">
        <v>89</v>
      </c>
      <c r="E30" s="8" t="s">
        <v>107</v>
      </c>
      <c r="F30" s="7" t="s">
        <v>157</v>
      </c>
      <c r="G30" s="4" t="s">
        <v>158</v>
      </c>
      <c r="H30" s="5" t="s">
        <v>143</v>
      </c>
    </row>
    <row r="31" customFormat="false" ht="31.5" hidden="false" customHeight="true" outlineLevel="0" collapsed="false">
      <c r="A31" s="3" t="s">
        <v>159</v>
      </c>
      <c r="B31" s="4" t="s">
        <v>160</v>
      </c>
      <c r="C31" s="5" t="s">
        <v>156</v>
      </c>
      <c r="D31" s="5" t="s">
        <v>154</v>
      </c>
      <c r="E31" s="8" t="s">
        <v>107</v>
      </c>
      <c r="F31" s="7" t="s">
        <v>161</v>
      </c>
      <c r="G31" s="4" t="s">
        <v>162</v>
      </c>
      <c r="H31" s="5" t="s">
        <v>143</v>
      </c>
    </row>
    <row r="32" customFormat="false" ht="31.5" hidden="false" customHeight="true" outlineLevel="0" collapsed="false">
      <c r="A32" s="3" t="s">
        <v>163</v>
      </c>
      <c r="B32" s="4" t="s">
        <v>164</v>
      </c>
      <c r="C32" s="5" t="s">
        <v>165</v>
      </c>
      <c r="D32" s="5" t="s">
        <v>154</v>
      </c>
      <c r="E32" s="8" t="s">
        <v>107</v>
      </c>
      <c r="F32" s="7" t="s">
        <v>166</v>
      </c>
      <c r="G32" s="4" t="s">
        <v>167</v>
      </c>
      <c r="H32" s="5" t="s">
        <v>143</v>
      </c>
    </row>
    <row r="33" customFormat="false" ht="31.5" hidden="false" customHeight="true" outlineLevel="0" collapsed="false">
      <c r="A33" s="3" t="s">
        <v>168</v>
      </c>
      <c r="B33" s="4" t="s">
        <v>169</v>
      </c>
      <c r="C33" s="5" t="s">
        <v>170</v>
      </c>
      <c r="D33" s="5" t="s">
        <v>134</v>
      </c>
      <c r="E33" s="8" t="s">
        <v>107</v>
      </c>
      <c r="F33" s="7" t="s">
        <v>171</v>
      </c>
      <c r="G33" s="4" t="s">
        <v>172</v>
      </c>
      <c r="H33" s="5" t="s">
        <v>143</v>
      </c>
    </row>
    <row r="34" customFormat="false" ht="31.5" hidden="false" customHeight="true" outlineLevel="0" collapsed="false">
      <c r="A34" s="3" t="s">
        <v>173</v>
      </c>
      <c r="B34" s="4" t="s">
        <v>174</v>
      </c>
      <c r="C34" s="5" t="s">
        <v>175</v>
      </c>
      <c r="D34" s="5" t="s">
        <v>134</v>
      </c>
      <c r="E34" s="8" t="s">
        <v>107</v>
      </c>
      <c r="F34" s="7" t="s">
        <v>176</v>
      </c>
      <c r="G34" s="4" t="s">
        <v>177</v>
      </c>
      <c r="H34" s="5" t="s">
        <v>178</v>
      </c>
    </row>
    <row r="35" customFormat="false" ht="31.5" hidden="false" customHeight="true" outlineLevel="0" collapsed="false">
      <c r="A35" s="3" t="s">
        <v>179</v>
      </c>
      <c r="B35" s="4" t="s">
        <v>180</v>
      </c>
      <c r="C35" s="5" t="s">
        <v>44</v>
      </c>
      <c r="D35" s="5" t="s">
        <v>173</v>
      </c>
      <c r="E35" s="8" t="s">
        <v>107</v>
      </c>
      <c r="F35" s="7" t="s">
        <v>181</v>
      </c>
      <c r="G35" s="4" t="s">
        <v>182</v>
      </c>
      <c r="H35" s="5" t="s">
        <v>178</v>
      </c>
    </row>
    <row r="36" customFormat="false" ht="31.5" hidden="false" customHeight="true" outlineLevel="0" collapsed="false">
      <c r="A36" s="3" t="s">
        <v>106</v>
      </c>
      <c r="B36" s="4" t="s">
        <v>183</v>
      </c>
      <c r="C36" s="5" t="s">
        <v>105</v>
      </c>
      <c r="D36" s="5" t="s">
        <v>173</v>
      </c>
      <c r="E36" s="8" t="s">
        <v>107</v>
      </c>
      <c r="F36" s="7" t="s">
        <v>184</v>
      </c>
      <c r="G36" s="4" t="s">
        <v>185</v>
      </c>
      <c r="H36" s="5" t="s">
        <v>178</v>
      </c>
    </row>
    <row r="37" customFormat="false" ht="31.5" hidden="false" customHeight="true" outlineLevel="0" collapsed="false">
      <c r="A37" s="3" t="s">
        <v>186</v>
      </c>
      <c r="B37" s="4" t="s">
        <v>187</v>
      </c>
      <c r="C37" s="5" t="s">
        <v>188</v>
      </c>
      <c r="D37" s="5" t="s">
        <v>106</v>
      </c>
      <c r="E37" s="8" t="s">
        <v>107</v>
      </c>
      <c r="F37" s="7" t="s">
        <v>189</v>
      </c>
      <c r="G37" s="4" t="s">
        <v>190</v>
      </c>
      <c r="H37" s="5" t="s">
        <v>178</v>
      </c>
    </row>
    <row r="38" customFormat="false" ht="31.5" hidden="false" customHeight="true" outlineLevel="0" collapsed="false">
      <c r="A38" s="3" t="s">
        <v>191</v>
      </c>
      <c r="B38" s="4" t="s">
        <v>192</v>
      </c>
      <c r="C38" s="5" t="s">
        <v>193</v>
      </c>
      <c r="D38" s="5" t="s">
        <v>106</v>
      </c>
      <c r="E38" s="8" t="s">
        <v>107</v>
      </c>
      <c r="F38" s="7" t="s">
        <v>194</v>
      </c>
      <c r="G38" s="4" t="s">
        <v>195</v>
      </c>
      <c r="H38" s="5" t="s">
        <v>178</v>
      </c>
    </row>
    <row r="39" customFormat="false" ht="31.5" hidden="false" customHeight="true" outlineLevel="0" collapsed="false">
      <c r="A39" s="3" t="s">
        <v>196</v>
      </c>
      <c r="B39" s="4" t="s">
        <v>197</v>
      </c>
      <c r="C39" s="5" t="s">
        <v>198</v>
      </c>
      <c r="D39" s="5" t="s">
        <v>106</v>
      </c>
      <c r="E39" s="8" t="s">
        <v>107</v>
      </c>
      <c r="F39" s="7" t="s">
        <v>199</v>
      </c>
      <c r="G39" s="4" t="s">
        <v>200</v>
      </c>
      <c r="H39" s="5" t="s">
        <v>178</v>
      </c>
    </row>
    <row r="40" customFormat="false" ht="31.5" hidden="false" customHeight="true" outlineLevel="0" collapsed="false">
      <c r="A40" s="3" t="s">
        <v>201</v>
      </c>
      <c r="B40" s="4" t="s">
        <v>202</v>
      </c>
      <c r="C40" s="5" t="s">
        <v>203</v>
      </c>
      <c r="D40" s="5" t="s">
        <v>106</v>
      </c>
      <c r="E40" s="8" t="s">
        <v>107</v>
      </c>
      <c r="F40" s="7" t="s">
        <v>204</v>
      </c>
      <c r="G40" s="4" t="s">
        <v>205</v>
      </c>
      <c r="H40" s="5" t="s">
        <v>178</v>
      </c>
    </row>
    <row r="41" customFormat="false" ht="31.5" hidden="false" customHeight="true" outlineLevel="0" collapsed="false">
      <c r="A41" s="3" t="s">
        <v>206</v>
      </c>
      <c r="B41" s="4" t="s">
        <v>207</v>
      </c>
      <c r="C41" s="5" t="s">
        <v>105</v>
      </c>
      <c r="D41" s="5" t="s">
        <v>186</v>
      </c>
      <c r="E41" s="8" t="s">
        <v>107</v>
      </c>
      <c r="F41" s="7" t="s">
        <v>208</v>
      </c>
      <c r="G41" s="4" t="s">
        <v>209</v>
      </c>
      <c r="H41" s="5" t="s">
        <v>178</v>
      </c>
    </row>
    <row r="42" customFormat="false" ht="31.5" hidden="false" customHeight="true" outlineLevel="0" collapsed="false">
      <c r="A42" s="3" t="s">
        <v>210</v>
      </c>
      <c r="B42" s="4" t="s">
        <v>211</v>
      </c>
      <c r="C42" s="5" t="s">
        <v>212</v>
      </c>
      <c r="D42" s="5" t="s">
        <v>206</v>
      </c>
      <c r="E42" s="8" t="s">
        <v>107</v>
      </c>
      <c r="F42" s="7" t="s">
        <v>213</v>
      </c>
      <c r="G42" s="4" t="s">
        <v>214</v>
      </c>
      <c r="H42" s="5" t="s">
        <v>178</v>
      </c>
    </row>
    <row r="43" customFormat="false" ht="31.5" hidden="false" customHeight="true" outlineLevel="0" collapsed="false">
      <c r="A43" s="3" t="s">
        <v>215</v>
      </c>
      <c r="B43" s="4" t="s">
        <v>216</v>
      </c>
      <c r="C43" s="5" t="s">
        <v>18</v>
      </c>
      <c r="D43" s="5" t="s">
        <v>106</v>
      </c>
      <c r="E43" s="8" t="s">
        <v>107</v>
      </c>
      <c r="F43" s="7" t="s">
        <v>217</v>
      </c>
      <c r="G43" s="4" t="s">
        <v>218</v>
      </c>
      <c r="H43" s="5" t="s">
        <v>178</v>
      </c>
    </row>
    <row r="44" customFormat="false" ht="31.5" hidden="false" customHeight="true" outlineLevel="0" collapsed="false">
      <c r="A44" s="3" t="s">
        <v>219</v>
      </c>
      <c r="B44" s="4" t="s">
        <v>220</v>
      </c>
      <c r="C44" s="5" t="s">
        <v>221</v>
      </c>
      <c r="D44" s="5" t="s">
        <v>168</v>
      </c>
      <c r="E44" s="8" t="s">
        <v>107</v>
      </c>
      <c r="F44" s="7" t="s">
        <v>222</v>
      </c>
      <c r="G44" s="4" t="s">
        <v>223</v>
      </c>
      <c r="H44" s="5" t="s">
        <v>224</v>
      </c>
    </row>
    <row r="45" customFormat="false" ht="31.5" hidden="false" customHeight="true" outlineLevel="0" collapsed="false">
      <c r="A45" s="3" t="s">
        <v>225</v>
      </c>
      <c r="B45" s="4" t="s">
        <v>226</v>
      </c>
      <c r="C45" s="5" t="s">
        <v>221</v>
      </c>
      <c r="D45" s="5" t="s">
        <v>219</v>
      </c>
      <c r="E45" s="8" t="s">
        <v>107</v>
      </c>
      <c r="F45" s="7" t="s">
        <v>227</v>
      </c>
      <c r="G45" s="4" t="s">
        <v>228</v>
      </c>
      <c r="H45" s="5" t="s">
        <v>224</v>
      </c>
    </row>
    <row r="46" customFormat="false" ht="31.5" hidden="false" customHeight="true" outlineLevel="0" collapsed="false">
      <c r="A46" s="3" t="s">
        <v>229</v>
      </c>
      <c r="B46" s="4" t="s">
        <v>230</v>
      </c>
      <c r="C46" s="5" t="s">
        <v>231</v>
      </c>
      <c r="D46" s="5" t="s">
        <v>196</v>
      </c>
      <c r="E46" s="9" t="s">
        <v>232</v>
      </c>
      <c r="F46" s="7" t="s">
        <v>233</v>
      </c>
      <c r="G46" s="4" t="s">
        <v>234</v>
      </c>
      <c r="H46" s="5" t="s">
        <v>224</v>
      </c>
    </row>
    <row r="47" customFormat="false" ht="31.5" hidden="false" customHeight="true" outlineLevel="0" collapsed="false">
      <c r="A47" s="3" t="s">
        <v>235</v>
      </c>
      <c r="B47" s="4" t="s">
        <v>236</v>
      </c>
      <c r="C47" s="5" t="s">
        <v>105</v>
      </c>
      <c r="D47" s="5" t="s">
        <v>173</v>
      </c>
      <c r="E47" s="9" t="s">
        <v>232</v>
      </c>
      <c r="F47" s="7" t="s">
        <v>237</v>
      </c>
      <c r="G47" s="4" t="s">
        <v>238</v>
      </c>
      <c r="H47" s="5" t="s">
        <v>224</v>
      </c>
    </row>
    <row r="48" customFormat="false" ht="31.5" hidden="false" customHeight="true" outlineLevel="0" collapsed="false">
      <c r="A48" s="3" t="s">
        <v>239</v>
      </c>
      <c r="B48" s="4" t="s">
        <v>240</v>
      </c>
      <c r="C48" s="5" t="s">
        <v>74</v>
      </c>
      <c r="D48" s="5" t="s">
        <v>72</v>
      </c>
      <c r="E48" s="8" t="s">
        <v>107</v>
      </c>
      <c r="F48" s="7" t="s">
        <v>241</v>
      </c>
      <c r="G48" s="4" t="s">
        <v>242</v>
      </c>
      <c r="H48" s="5" t="s">
        <v>243</v>
      </c>
    </row>
    <row r="49" customFormat="false" ht="31.5" hidden="false" customHeight="true" outlineLevel="0" collapsed="false">
      <c r="A49" s="3" t="s">
        <v>244</v>
      </c>
      <c r="B49" s="4" t="s">
        <v>245</v>
      </c>
      <c r="C49" s="5" t="s">
        <v>85</v>
      </c>
      <c r="D49" s="5" t="s">
        <v>83</v>
      </c>
      <c r="E49" s="8" t="s">
        <v>107</v>
      </c>
      <c r="F49" s="7" t="s">
        <v>246</v>
      </c>
      <c r="G49" s="4" t="s">
        <v>247</v>
      </c>
      <c r="H49" s="5" t="s">
        <v>243</v>
      </c>
    </row>
    <row r="50" customFormat="false" ht="31.5" hidden="false" customHeight="true" outlineLevel="0" collapsed="false">
      <c r="A50" s="3" t="s">
        <v>248</v>
      </c>
      <c r="B50" s="4" t="s">
        <v>249</v>
      </c>
      <c r="C50" s="5" t="s">
        <v>85</v>
      </c>
      <c r="D50" s="5" t="s">
        <v>244</v>
      </c>
      <c r="E50" s="8" t="s">
        <v>107</v>
      </c>
      <c r="F50" s="7" t="s">
        <v>250</v>
      </c>
      <c r="G50" s="4" t="s">
        <v>251</v>
      </c>
      <c r="H50" s="5" t="s">
        <v>243</v>
      </c>
    </row>
    <row r="51" customFormat="false" ht="31.5" hidden="false" customHeight="true" outlineLevel="0" collapsed="false">
      <c r="A51" s="3" t="s">
        <v>252</v>
      </c>
      <c r="B51" s="4" t="s">
        <v>253</v>
      </c>
      <c r="C51" s="5" t="s">
        <v>254</v>
      </c>
      <c r="D51" s="5" t="s">
        <v>72</v>
      </c>
      <c r="E51" s="8" t="s">
        <v>107</v>
      </c>
      <c r="F51" s="7" t="s">
        <v>255</v>
      </c>
      <c r="G51" s="4" t="s">
        <v>256</v>
      </c>
      <c r="H51" s="5" t="s">
        <v>243</v>
      </c>
    </row>
    <row r="52" customFormat="false" ht="31.5" hidden="false" customHeight="true" outlineLevel="0" collapsed="false">
      <c r="A52" s="3" t="s">
        <v>257</v>
      </c>
      <c r="B52" s="4" t="s">
        <v>258</v>
      </c>
      <c r="C52" s="5" t="s">
        <v>259</v>
      </c>
      <c r="D52" s="5" t="s">
        <v>252</v>
      </c>
      <c r="E52" s="8" t="s">
        <v>107</v>
      </c>
      <c r="F52" s="7" t="s">
        <v>260</v>
      </c>
      <c r="G52" s="4" t="s">
        <v>261</v>
      </c>
      <c r="H52" s="5" t="s">
        <v>243</v>
      </c>
    </row>
    <row r="53" customFormat="false" ht="31.5" hidden="false" customHeight="true" outlineLevel="0" collapsed="false">
      <c r="A53" s="3" t="s">
        <v>262</v>
      </c>
      <c r="B53" s="4" t="s">
        <v>263</v>
      </c>
      <c r="C53" s="5" t="s">
        <v>259</v>
      </c>
      <c r="D53" s="5" t="s">
        <v>257</v>
      </c>
      <c r="E53" s="9" t="s">
        <v>232</v>
      </c>
      <c r="F53" s="7" t="s">
        <v>264</v>
      </c>
      <c r="G53" s="4" t="s">
        <v>265</v>
      </c>
      <c r="H53" s="5" t="s">
        <v>243</v>
      </c>
    </row>
    <row r="54" customFormat="false" ht="31.5" hidden="false" customHeight="true" outlineLevel="0" collapsed="false">
      <c r="A54" s="3" t="s">
        <v>266</v>
      </c>
      <c r="B54" s="4" t="s">
        <v>267</v>
      </c>
      <c r="C54" s="5" t="s">
        <v>268</v>
      </c>
      <c r="D54" s="5" t="s">
        <v>257</v>
      </c>
      <c r="E54" s="9" t="s">
        <v>232</v>
      </c>
      <c r="F54" s="7" t="s">
        <v>269</v>
      </c>
      <c r="G54" s="4" t="s">
        <v>270</v>
      </c>
      <c r="H54" s="5" t="s">
        <v>243</v>
      </c>
    </row>
    <row r="55" customFormat="false" ht="31.5" hidden="false" customHeight="true" outlineLevel="0" collapsed="false">
      <c r="A55" s="3" t="s">
        <v>271</v>
      </c>
      <c r="B55" s="4" t="s">
        <v>272</v>
      </c>
      <c r="C55" s="5" t="s">
        <v>273</v>
      </c>
      <c r="D55" s="5" t="s">
        <v>274</v>
      </c>
      <c r="E55" s="8" t="s">
        <v>107</v>
      </c>
      <c r="F55" s="7" t="s">
        <v>275</v>
      </c>
      <c r="G55" s="4" t="s">
        <v>276</v>
      </c>
      <c r="H55" s="5" t="s">
        <v>277</v>
      </c>
    </row>
    <row r="56" customFormat="false" ht="31.5" hidden="false" customHeight="true" outlineLevel="0" collapsed="false">
      <c r="A56" s="3" t="s">
        <v>278</v>
      </c>
      <c r="B56" s="4" t="s">
        <v>279</v>
      </c>
      <c r="C56" s="5" t="s">
        <v>280</v>
      </c>
      <c r="D56" s="5" t="s">
        <v>271</v>
      </c>
      <c r="E56" s="9" t="s">
        <v>232</v>
      </c>
      <c r="F56" s="7" t="s">
        <v>281</v>
      </c>
      <c r="G56" s="4" t="s">
        <v>282</v>
      </c>
      <c r="H56" s="5" t="s">
        <v>277</v>
      </c>
    </row>
    <row r="57" customFormat="false" ht="31.5" hidden="false" customHeight="true" outlineLevel="0" collapsed="false">
      <c r="A57" s="3" t="s">
        <v>283</v>
      </c>
      <c r="B57" s="4" t="s">
        <v>284</v>
      </c>
      <c r="C57" s="5" t="s">
        <v>285</v>
      </c>
      <c r="D57" s="5" t="s">
        <v>11</v>
      </c>
      <c r="E57" s="8" t="s">
        <v>107</v>
      </c>
      <c r="F57" s="7" t="s">
        <v>286</v>
      </c>
      <c r="G57" s="4" t="s">
        <v>287</v>
      </c>
      <c r="H57" s="5" t="s">
        <v>277</v>
      </c>
    </row>
    <row r="58" customFormat="false" ht="31.5" hidden="false" customHeight="true" outlineLevel="0" collapsed="false">
      <c r="A58" s="3" t="s">
        <v>288</v>
      </c>
      <c r="B58" s="4" t="s">
        <v>289</v>
      </c>
      <c r="C58" s="5" t="s">
        <v>290</v>
      </c>
      <c r="D58" s="5" t="s">
        <v>11</v>
      </c>
      <c r="E58" s="6" t="s">
        <v>12</v>
      </c>
      <c r="F58" s="7" t="s">
        <v>291</v>
      </c>
      <c r="G58" s="4" t="s">
        <v>292</v>
      </c>
      <c r="H58" s="5" t="s">
        <v>277</v>
      </c>
    </row>
    <row r="59" customFormat="false" ht="31.5" hidden="false" customHeight="true" outlineLevel="0" collapsed="false">
      <c r="A59" s="3" t="s">
        <v>293</v>
      </c>
      <c r="B59" s="4" t="s">
        <v>294</v>
      </c>
      <c r="C59" s="5" t="s">
        <v>295</v>
      </c>
      <c r="D59" s="5" t="s">
        <v>37</v>
      </c>
      <c r="E59" s="9" t="s">
        <v>232</v>
      </c>
      <c r="F59" s="7" t="s">
        <v>296</v>
      </c>
      <c r="G59" s="4" t="s">
        <v>297</v>
      </c>
      <c r="H59" s="5" t="s">
        <v>277</v>
      </c>
    </row>
    <row r="60" customFormat="false" ht="31.5" hidden="false" customHeight="true" outlineLevel="0" collapsed="false">
      <c r="A60" s="3" t="s">
        <v>298</v>
      </c>
      <c r="B60" s="4" t="s">
        <v>299</v>
      </c>
      <c r="C60" s="5" t="s">
        <v>300</v>
      </c>
      <c r="D60" s="5" t="s">
        <v>11</v>
      </c>
      <c r="E60" s="6" t="s">
        <v>12</v>
      </c>
      <c r="F60" s="7" t="s">
        <v>301</v>
      </c>
      <c r="G60" s="4" t="s">
        <v>302</v>
      </c>
      <c r="H60" s="5" t="s">
        <v>277</v>
      </c>
    </row>
    <row r="61" customFormat="false" ht="31.5" hidden="false" customHeight="true" outlineLevel="0" collapsed="false">
      <c r="A61" s="3" t="s">
        <v>303</v>
      </c>
      <c r="B61" s="4" t="s">
        <v>304</v>
      </c>
      <c r="C61" s="5" t="s">
        <v>300</v>
      </c>
      <c r="D61" s="5" t="s">
        <v>154</v>
      </c>
      <c r="E61" s="6" t="s">
        <v>12</v>
      </c>
      <c r="F61" s="7" t="s">
        <v>305</v>
      </c>
      <c r="G61" s="4" t="s">
        <v>306</v>
      </c>
      <c r="H61" s="5" t="s">
        <v>277</v>
      </c>
    </row>
    <row r="62" customFormat="false" ht="31.5" hidden="false" customHeight="true" outlineLevel="0" collapsed="false">
      <c r="A62" s="3" t="s">
        <v>307</v>
      </c>
      <c r="B62" s="4" t="s">
        <v>308</v>
      </c>
      <c r="C62" s="5" t="s">
        <v>309</v>
      </c>
      <c r="D62" s="5" t="s">
        <v>11</v>
      </c>
      <c r="E62" s="6" t="s">
        <v>12</v>
      </c>
      <c r="F62" s="7" t="s">
        <v>310</v>
      </c>
      <c r="G62" s="4" t="s">
        <v>311</v>
      </c>
      <c r="H62" s="5" t="s">
        <v>277</v>
      </c>
    </row>
    <row r="63" customFormat="false" ht="21.75" hidden="false" customHeight="true" outlineLevel="0" collapsed="false">
      <c r="A63" s="3" t="s">
        <v>312</v>
      </c>
      <c r="B63" s="4" t="s">
        <v>313</v>
      </c>
      <c r="C63" s="5" t="s">
        <v>314</v>
      </c>
      <c r="D63" s="5" t="s">
        <v>206</v>
      </c>
      <c r="E63" s="6" t="s">
        <v>12</v>
      </c>
      <c r="F63" s="7" t="s">
        <v>315</v>
      </c>
      <c r="G63" s="4" t="s">
        <v>316</v>
      </c>
      <c r="H63" s="5" t="s">
        <v>317</v>
      </c>
    </row>
    <row r="64" customFormat="false" ht="14.25" hidden="false" customHeight="true" outlineLevel="0" collapsed="false">
      <c r="A64" s="3" t="s">
        <v>318</v>
      </c>
      <c r="B64" s="4" t="s">
        <v>319</v>
      </c>
      <c r="C64" s="5" t="s">
        <v>314</v>
      </c>
      <c r="D64" s="5" t="s">
        <v>312</v>
      </c>
      <c r="E64" s="6" t="s">
        <v>12</v>
      </c>
      <c r="F64" s="7" t="s">
        <v>320</v>
      </c>
      <c r="G64" s="4" t="s">
        <v>321</v>
      </c>
      <c r="H64" s="5" t="s">
        <v>317</v>
      </c>
    </row>
    <row r="65" customFormat="false" ht="14.25" hidden="false" customHeight="true" outlineLevel="0" collapsed="false">
      <c r="A65" s="3" t="s">
        <v>322</v>
      </c>
      <c r="B65" s="4" t="s">
        <v>323</v>
      </c>
      <c r="C65" s="5" t="s">
        <v>314</v>
      </c>
      <c r="D65" s="5" t="s">
        <v>312</v>
      </c>
      <c r="E65" s="6" t="s">
        <v>12</v>
      </c>
      <c r="F65" s="7" t="s">
        <v>324</v>
      </c>
      <c r="G65" s="4" t="s">
        <v>325</v>
      </c>
      <c r="H65" s="5" t="s">
        <v>317</v>
      </c>
    </row>
    <row r="66" customFormat="false" ht="20.25" hidden="false" customHeight="true" outlineLevel="0" collapsed="false">
      <c r="A66" s="3" t="s">
        <v>326</v>
      </c>
      <c r="B66" s="4" t="s">
        <v>327</v>
      </c>
      <c r="C66" s="5" t="s">
        <v>314</v>
      </c>
      <c r="D66" s="5" t="s">
        <v>248</v>
      </c>
      <c r="E66" s="6" t="s">
        <v>12</v>
      </c>
      <c r="F66" s="7" t="s">
        <v>328</v>
      </c>
      <c r="G66" s="4" t="s">
        <v>329</v>
      </c>
      <c r="H66" s="5" t="s">
        <v>330</v>
      </c>
    </row>
    <row r="67" customFormat="false" ht="18.75" hidden="false" customHeight="true" outlineLevel="0" collapsed="false">
      <c r="A67" s="3" t="s">
        <v>331</v>
      </c>
      <c r="B67" s="4" t="s">
        <v>332</v>
      </c>
      <c r="C67" s="5" t="s">
        <v>314</v>
      </c>
      <c r="D67" s="5" t="s">
        <v>72</v>
      </c>
      <c r="E67" s="6" t="s">
        <v>12</v>
      </c>
      <c r="F67" s="7" t="s">
        <v>333</v>
      </c>
      <c r="G67" s="4" t="s">
        <v>334</v>
      </c>
      <c r="H67" s="5" t="s">
        <v>335</v>
      </c>
    </row>
    <row r="68" customFormat="false" ht="14.25" hidden="false" customHeight="true" outlineLevel="0" collapsed="false">
      <c r="A68" s="3" t="s">
        <v>336</v>
      </c>
      <c r="B68" s="4" t="s">
        <v>337</v>
      </c>
      <c r="C68" s="5" t="s">
        <v>314</v>
      </c>
      <c r="D68" s="5" t="s">
        <v>331</v>
      </c>
      <c r="E68" s="6" t="s">
        <v>12</v>
      </c>
      <c r="F68" s="7" t="s">
        <v>338</v>
      </c>
      <c r="G68" s="4" t="s">
        <v>339</v>
      </c>
      <c r="H68" s="5" t="s">
        <v>335</v>
      </c>
    </row>
    <row r="69" customFormat="false" ht="14.25" hidden="false" customHeight="true" outlineLevel="0" collapsed="false">
      <c r="A69" s="3" t="s">
        <v>340</v>
      </c>
      <c r="B69" s="4" t="s">
        <v>341</v>
      </c>
      <c r="C69" s="5" t="s">
        <v>314</v>
      </c>
      <c r="D69" s="5" t="s">
        <v>336</v>
      </c>
      <c r="E69" s="6" t="s">
        <v>12</v>
      </c>
      <c r="F69" s="7" t="s">
        <v>342</v>
      </c>
      <c r="G69" s="4" t="s">
        <v>343</v>
      </c>
      <c r="H69" s="5" t="s">
        <v>335</v>
      </c>
    </row>
    <row r="71" customFormat="false" ht="14.25" hidden="false" customHeight="true" outlineLevel="0" collapsed="false">
      <c r="A71" s="10" t="s">
        <v>344</v>
      </c>
      <c r="B71" s="10"/>
      <c r="C71" s="10"/>
      <c r="D71" s="10"/>
      <c r="E71" s="10"/>
      <c r="F71" s="10"/>
      <c r="G71" s="10"/>
      <c r="H71" s="10"/>
    </row>
    <row r="72" customFormat="false" ht="14.25" hidden="false" customHeight="true" outlineLevel="0" collapsed="false">
      <c r="A72" s="10" t="s">
        <v>345</v>
      </c>
      <c r="B72" s="10"/>
      <c r="C72" s="10"/>
      <c r="D72" s="10"/>
      <c r="E72" s="10"/>
      <c r="F72" s="10"/>
      <c r="G72" s="10"/>
      <c r="H72" s="10"/>
    </row>
  </sheetData>
  <autoFilter ref="A1:H62"/>
  <mergeCells count="2">
    <mergeCell ref="A71:H71"/>
    <mergeCell ref="A72:H7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5"/>
    <col collapsed="false" customWidth="true" hidden="false" outlineLevel="0" max="3" min="3" style="1" width="62"/>
    <col collapsed="false" customWidth="true" hidden="false" outlineLevel="0" max="5" min="4" style="1" width="20"/>
    <col collapsed="false" customWidth="true" hidden="false" outlineLevel="0" max="6" min="6" style="1" width="40"/>
  </cols>
  <sheetData>
    <row r="1" customFormat="false" ht="25.5" hidden="false" customHeight="true" outlineLevel="0" collapsed="false">
      <c r="A1" s="11" t="s">
        <v>346</v>
      </c>
      <c r="B1" s="11"/>
      <c r="C1" s="11"/>
      <c r="D1" s="11"/>
      <c r="E1" s="11"/>
      <c r="F1" s="11"/>
    </row>
    <row r="2" customFormat="false" ht="18" hidden="false" customHeight="true" outlineLevel="0" collapsed="false">
      <c r="A2" s="12" t="s">
        <v>347</v>
      </c>
      <c r="B2" s="12"/>
      <c r="C2" s="12"/>
      <c r="D2" s="12"/>
      <c r="E2" s="12"/>
      <c r="F2" s="12"/>
    </row>
    <row r="4" customFormat="false" ht="33.75" hidden="false" customHeight="true" outlineLevel="0" collapsed="false">
      <c r="A4" s="13" t="s">
        <v>348</v>
      </c>
      <c r="B4" s="13" t="s">
        <v>0</v>
      </c>
      <c r="C4" s="13" t="s">
        <v>349</v>
      </c>
      <c r="D4" s="13" t="s">
        <v>350</v>
      </c>
      <c r="E4" s="13" t="s">
        <v>351</v>
      </c>
      <c r="F4" s="13" t="s">
        <v>352</v>
      </c>
    </row>
    <row r="5" customFormat="false" ht="30" hidden="false" customHeight="true" outlineLevel="0" collapsed="false">
      <c r="A5" s="3" t="s">
        <v>13</v>
      </c>
      <c r="B5" s="7" t="s">
        <v>8</v>
      </c>
      <c r="C5" s="4" t="s">
        <v>353</v>
      </c>
      <c r="D5" s="7" t="s">
        <v>354</v>
      </c>
      <c r="E5" s="6" t="s">
        <v>355</v>
      </c>
      <c r="F5" s="4" t="s">
        <v>356</v>
      </c>
    </row>
    <row r="6" customFormat="false" ht="30" hidden="false" customHeight="true" outlineLevel="0" collapsed="false">
      <c r="A6" s="3" t="s">
        <v>19</v>
      </c>
      <c r="B6" s="7" t="s">
        <v>16</v>
      </c>
      <c r="C6" s="4" t="s">
        <v>357</v>
      </c>
      <c r="D6" s="7" t="s">
        <v>354</v>
      </c>
      <c r="E6" s="6" t="s">
        <v>355</v>
      </c>
      <c r="F6" s="4" t="s">
        <v>356</v>
      </c>
    </row>
    <row r="7" customFormat="false" ht="30" hidden="false" customHeight="true" outlineLevel="0" collapsed="false">
      <c r="A7" s="3" t="s">
        <v>25</v>
      </c>
      <c r="B7" s="7" t="s">
        <v>21</v>
      </c>
      <c r="C7" s="4" t="s">
        <v>358</v>
      </c>
      <c r="D7" s="7" t="s">
        <v>354</v>
      </c>
      <c r="E7" s="6" t="s">
        <v>355</v>
      </c>
      <c r="F7" s="4" t="s">
        <v>356</v>
      </c>
    </row>
    <row r="8" customFormat="false" ht="30" hidden="false" customHeight="true" outlineLevel="0" collapsed="false">
      <c r="A8" s="3" t="s">
        <v>30</v>
      </c>
      <c r="B8" s="7" t="s">
        <v>27</v>
      </c>
      <c r="C8" s="4" t="s">
        <v>359</v>
      </c>
      <c r="D8" s="7" t="s">
        <v>354</v>
      </c>
      <c r="E8" s="6" t="s">
        <v>355</v>
      </c>
      <c r="F8" s="4" t="s">
        <v>356</v>
      </c>
    </row>
    <row r="9" customFormat="false" ht="30" hidden="false" customHeight="true" outlineLevel="0" collapsed="false">
      <c r="A9" s="3" t="s">
        <v>35</v>
      </c>
      <c r="B9" s="7" t="s">
        <v>32</v>
      </c>
      <c r="C9" s="4" t="s">
        <v>360</v>
      </c>
      <c r="D9" s="7" t="s">
        <v>354</v>
      </c>
      <c r="E9" s="6" t="s">
        <v>355</v>
      </c>
      <c r="F9" s="4" t="s">
        <v>356</v>
      </c>
    </row>
    <row r="10" customFormat="false" ht="30" hidden="false" customHeight="true" outlineLevel="0" collapsed="false">
      <c r="A10" s="3" t="s">
        <v>40</v>
      </c>
      <c r="B10" s="7" t="s">
        <v>37</v>
      </c>
      <c r="C10" s="4" t="s">
        <v>361</v>
      </c>
      <c r="D10" s="7" t="s">
        <v>354</v>
      </c>
      <c r="E10" s="6" t="s">
        <v>355</v>
      </c>
      <c r="F10" s="4" t="s">
        <v>356</v>
      </c>
    </row>
    <row r="11" customFormat="false" ht="30" hidden="false" customHeight="true" outlineLevel="0" collapsed="false">
      <c r="A11" s="3" t="s">
        <v>45</v>
      </c>
      <c r="B11" s="7" t="s">
        <v>42</v>
      </c>
      <c r="C11" s="4" t="s">
        <v>362</v>
      </c>
      <c r="D11" s="7" t="s">
        <v>354</v>
      </c>
      <c r="E11" s="6" t="s">
        <v>355</v>
      </c>
      <c r="F11" s="4" t="s">
        <v>356</v>
      </c>
    </row>
    <row r="12" customFormat="false" ht="30" hidden="false" customHeight="true" outlineLevel="0" collapsed="false">
      <c r="A12" s="3" t="s">
        <v>50</v>
      </c>
      <c r="B12" s="7" t="s">
        <v>47</v>
      </c>
      <c r="C12" s="4" t="s">
        <v>363</v>
      </c>
      <c r="D12" s="7" t="s">
        <v>354</v>
      </c>
      <c r="E12" s="6" t="s">
        <v>355</v>
      </c>
      <c r="F12" s="4" t="s">
        <v>356</v>
      </c>
    </row>
    <row r="13" customFormat="false" ht="30" hidden="false" customHeight="true" outlineLevel="0" collapsed="false">
      <c r="A13" s="3" t="s">
        <v>55</v>
      </c>
      <c r="B13" s="7" t="s">
        <v>52</v>
      </c>
      <c r="C13" s="4" t="s">
        <v>364</v>
      </c>
      <c r="D13" s="7" t="s">
        <v>354</v>
      </c>
      <c r="E13" s="6" t="s">
        <v>355</v>
      </c>
      <c r="F13" s="4" t="s">
        <v>356</v>
      </c>
    </row>
    <row r="14" customFormat="false" ht="30" hidden="false" customHeight="true" outlineLevel="0" collapsed="false">
      <c r="A14" s="3" t="s">
        <v>60</v>
      </c>
      <c r="B14" s="7" t="s">
        <v>57</v>
      </c>
      <c r="C14" s="4" t="s">
        <v>365</v>
      </c>
      <c r="D14" s="7" t="s">
        <v>354</v>
      </c>
      <c r="E14" s="6" t="s">
        <v>355</v>
      </c>
      <c r="F14" s="4" t="s">
        <v>356</v>
      </c>
    </row>
    <row r="15" customFormat="false" ht="30" hidden="false" customHeight="true" outlineLevel="0" collapsed="false">
      <c r="A15" s="3" t="s">
        <v>65</v>
      </c>
      <c r="B15" s="7" t="s">
        <v>62</v>
      </c>
      <c r="C15" s="4" t="s">
        <v>366</v>
      </c>
      <c r="D15" s="7" t="s">
        <v>354</v>
      </c>
      <c r="E15" s="6" t="s">
        <v>355</v>
      </c>
      <c r="F15" s="4" t="s">
        <v>356</v>
      </c>
    </row>
    <row r="16" customFormat="false" ht="30" hidden="false" customHeight="true" outlineLevel="0" collapsed="false">
      <c r="A16" s="3" t="s">
        <v>70</v>
      </c>
      <c r="B16" s="7" t="s">
        <v>67</v>
      </c>
      <c r="C16" s="4" t="s">
        <v>367</v>
      </c>
      <c r="D16" s="7" t="s">
        <v>354</v>
      </c>
      <c r="E16" s="6" t="s">
        <v>355</v>
      </c>
      <c r="F16" s="4" t="s">
        <v>356</v>
      </c>
    </row>
    <row r="17" customFormat="false" ht="30" hidden="false" customHeight="true" outlineLevel="0" collapsed="false">
      <c r="A17" s="3" t="s">
        <v>75</v>
      </c>
      <c r="B17" s="7" t="s">
        <v>72</v>
      </c>
      <c r="C17" s="4" t="s">
        <v>368</v>
      </c>
      <c r="D17" s="7" t="s">
        <v>354</v>
      </c>
      <c r="E17" s="6" t="s">
        <v>355</v>
      </c>
      <c r="F17" s="4" t="s">
        <v>356</v>
      </c>
    </row>
    <row r="18" customFormat="false" ht="30" hidden="false" customHeight="true" outlineLevel="0" collapsed="false">
      <c r="A18" s="3" t="s">
        <v>80</v>
      </c>
      <c r="B18" s="7" t="s">
        <v>77</v>
      </c>
      <c r="C18" s="4" t="s">
        <v>369</v>
      </c>
      <c r="D18" s="7" t="s">
        <v>354</v>
      </c>
      <c r="E18" s="6" t="s">
        <v>355</v>
      </c>
      <c r="F18" s="4" t="s">
        <v>356</v>
      </c>
    </row>
    <row r="19" customFormat="false" ht="30" hidden="false" customHeight="true" outlineLevel="0" collapsed="false">
      <c r="A19" s="3" t="s">
        <v>87</v>
      </c>
      <c r="B19" s="7" t="s">
        <v>83</v>
      </c>
      <c r="C19" s="4" t="s">
        <v>370</v>
      </c>
      <c r="D19" s="7" t="s">
        <v>354</v>
      </c>
      <c r="E19" s="6" t="s">
        <v>355</v>
      </c>
      <c r="F19" s="4" t="s">
        <v>356</v>
      </c>
    </row>
    <row r="20" customFormat="false" ht="30" hidden="false" customHeight="true" outlineLevel="0" collapsed="false">
      <c r="A20" s="3" t="s">
        <v>92</v>
      </c>
      <c r="B20" s="7" t="s">
        <v>89</v>
      </c>
      <c r="C20" s="4" t="s">
        <v>371</v>
      </c>
      <c r="D20" s="7" t="s">
        <v>354</v>
      </c>
      <c r="E20" s="6" t="s">
        <v>355</v>
      </c>
      <c r="F20" s="4" t="s">
        <v>356</v>
      </c>
    </row>
    <row r="21" customFormat="false" ht="30" hidden="false" customHeight="true" outlineLevel="0" collapsed="false">
      <c r="A21" s="3" t="s">
        <v>96</v>
      </c>
      <c r="B21" s="7" t="s">
        <v>94</v>
      </c>
      <c r="C21" s="4" t="s">
        <v>372</v>
      </c>
      <c r="D21" s="7" t="s">
        <v>354</v>
      </c>
      <c r="E21" s="6" t="s">
        <v>355</v>
      </c>
      <c r="F21" s="4" t="s">
        <v>356</v>
      </c>
    </row>
    <row r="22" customFormat="false" ht="30" hidden="false" customHeight="true" outlineLevel="0" collapsed="false">
      <c r="A22" s="3" t="s">
        <v>101</v>
      </c>
      <c r="B22" s="7" t="s">
        <v>98</v>
      </c>
      <c r="C22" s="4" t="s">
        <v>373</v>
      </c>
      <c r="D22" s="7" t="s">
        <v>354</v>
      </c>
      <c r="E22" s="6" t="s">
        <v>355</v>
      </c>
      <c r="F22" s="4" t="s">
        <v>356</v>
      </c>
    </row>
    <row r="23" customFormat="false" ht="30" hidden="false" customHeight="true" outlineLevel="0" collapsed="false">
      <c r="A23" s="3" t="s">
        <v>108</v>
      </c>
      <c r="B23" s="7" t="s">
        <v>103</v>
      </c>
      <c r="C23" s="4" t="s">
        <v>374</v>
      </c>
      <c r="D23" s="7" t="s">
        <v>354</v>
      </c>
      <c r="E23" s="8" t="s">
        <v>375</v>
      </c>
      <c r="F23" s="4" t="s">
        <v>376</v>
      </c>
    </row>
    <row r="24" customFormat="false" ht="30" hidden="false" customHeight="true" outlineLevel="0" collapsed="false">
      <c r="A24" s="3" t="s">
        <v>112</v>
      </c>
      <c r="B24" s="7" t="s">
        <v>110</v>
      </c>
      <c r="C24" s="4" t="s">
        <v>377</v>
      </c>
      <c r="D24" s="7" t="s">
        <v>354</v>
      </c>
      <c r="E24" s="6" t="s">
        <v>355</v>
      </c>
      <c r="F24" s="4" t="s">
        <v>356</v>
      </c>
    </row>
    <row r="25" customFormat="false" ht="30" hidden="false" customHeight="true" outlineLevel="0" collapsed="false">
      <c r="A25" s="3" t="s">
        <v>118</v>
      </c>
      <c r="B25" s="7" t="s">
        <v>115</v>
      </c>
      <c r="C25" s="4" t="s">
        <v>378</v>
      </c>
      <c r="D25" s="7" t="s">
        <v>354</v>
      </c>
      <c r="E25" s="6" t="s">
        <v>355</v>
      </c>
      <c r="F25" s="4" t="s">
        <v>356</v>
      </c>
    </row>
    <row r="26" customFormat="false" ht="30" hidden="false" customHeight="true" outlineLevel="0" collapsed="false">
      <c r="A26" s="3" t="s">
        <v>123</v>
      </c>
      <c r="B26" s="7" t="s">
        <v>120</v>
      </c>
      <c r="C26" s="4" t="s">
        <v>379</v>
      </c>
      <c r="D26" s="7" t="s">
        <v>354</v>
      </c>
      <c r="E26" s="6" t="s">
        <v>355</v>
      </c>
      <c r="F26" s="4" t="s">
        <v>356</v>
      </c>
    </row>
    <row r="27" customFormat="false" ht="30" hidden="false" customHeight="true" outlineLevel="0" collapsed="false">
      <c r="A27" s="3" t="s">
        <v>127</v>
      </c>
      <c r="B27" s="7" t="s">
        <v>125</v>
      </c>
      <c r="C27" s="4" t="s">
        <v>380</v>
      </c>
      <c r="D27" s="7" t="s">
        <v>354</v>
      </c>
      <c r="E27" s="6" t="s">
        <v>355</v>
      </c>
      <c r="F27" s="4" t="s">
        <v>356</v>
      </c>
    </row>
    <row r="28" customFormat="false" ht="30" hidden="false" customHeight="true" outlineLevel="0" collapsed="false">
      <c r="A28" s="3" t="s">
        <v>132</v>
      </c>
      <c r="B28" s="7" t="s">
        <v>129</v>
      </c>
      <c r="C28" s="4" t="s">
        <v>381</v>
      </c>
      <c r="D28" s="7" t="s">
        <v>354</v>
      </c>
      <c r="E28" s="6" t="s">
        <v>355</v>
      </c>
      <c r="F28" s="4" t="s">
        <v>356</v>
      </c>
    </row>
    <row r="29" customFormat="false" ht="30" hidden="false" customHeight="true" outlineLevel="0" collapsed="false">
      <c r="A29" s="3" t="s">
        <v>137</v>
      </c>
      <c r="B29" s="7" t="s">
        <v>134</v>
      </c>
      <c r="C29" s="4" t="s">
        <v>382</v>
      </c>
      <c r="D29" s="7" t="s">
        <v>354</v>
      </c>
      <c r="E29" s="6" t="s">
        <v>355</v>
      </c>
      <c r="F29" s="4" t="s">
        <v>356</v>
      </c>
    </row>
    <row r="30" customFormat="false" ht="30" hidden="false" customHeight="true" outlineLevel="0" collapsed="false">
      <c r="A30" s="3" t="s">
        <v>142</v>
      </c>
      <c r="B30" s="7" t="s">
        <v>139</v>
      </c>
      <c r="C30" s="4" t="s">
        <v>383</v>
      </c>
      <c r="D30" s="7" t="s">
        <v>354</v>
      </c>
      <c r="E30" s="8" t="s">
        <v>375</v>
      </c>
      <c r="F30" s="4" t="s">
        <v>376</v>
      </c>
    </row>
    <row r="31" customFormat="false" ht="30" hidden="false" customHeight="true" outlineLevel="0" collapsed="false">
      <c r="A31" s="3" t="s">
        <v>147</v>
      </c>
      <c r="B31" s="7" t="s">
        <v>144</v>
      </c>
      <c r="C31" s="4" t="s">
        <v>384</v>
      </c>
      <c r="D31" s="7" t="s">
        <v>354</v>
      </c>
      <c r="E31" s="8" t="s">
        <v>375</v>
      </c>
      <c r="F31" s="4" t="s">
        <v>376</v>
      </c>
    </row>
    <row r="32" customFormat="false" ht="30" hidden="false" customHeight="true" outlineLevel="0" collapsed="false">
      <c r="A32" s="3" t="s">
        <v>152</v>
      </c>
      <c r="B32" s="7" t="s">
        <v>149</v>
      </c>
      <c r="C32" s="4" t="s">
        <v>385</v>
      </c>
      <c r="D32" s="7" t="s">
        <v>354</v>
      </c>
      <c r="E32" s="8" t="s">
        <v>375</v>
      </c>
      <c r="F32" s="4" t="s">
        <v>376</v>
      </c>
    </row>
    <row r="33" customFormat="false" ht="30" hidden="false" customHeight="true" outlineLevel="0" collapsed="false">
      <c r="A33" s="3" t="s">
        <v>157</v>
      </c>
      <c r="B33" s="7" t="s">
        <v>154</v>
      </c>
      <c r="C33" s="4" t="s">
        <v>386</v>
      </c>
      <c r="D33" s="7" t="s">
        <v>354</v>
      </c>
      <c r="E33" s="8" t="s">
        <v>375</v>
      </c>
      <c r="F33" s="4" t="s">
        <v>376</v>
      </c>
    </row>
    <row r="34" customFormat="false" ht="30" hidden="false" customHeight="true" outlineLevel="0" collapsed="false">
      <c r="A34" s="3" t="s">
        <v>161</v>
      </c>
      <c r="B34" s="7" t="s">
        <v>159</v>
      </c>
      <c r="C34" s="4" t="s">
        <v>387</v>
      </c>
      <c r="D34" s="7" t="s">
        <v>354</v>
      </c>
      <c r="E34" s="8" t="s">
        <v>375</v>
      </c>
      <c r="F34" s="4" t="s">
        <v>376</v>
      </c>
    </row>
    <row r="35" customFormat="false" ht="30" hidden="false" customHeight="true" outlineLevel="0" collapsed="false">
      <c r="A35" s="3" t="s">
        <v>166</v>
      </c>
      <c r="B35" s="7" t="s">
        <v>163</v>
      </c>
      <c r="C35" s="4" t="s">
        <v>388</v>
      </c>
      <c r="D35" s="7" t="s">
        <v>354</v>
      </c>
      <c r="E35" s="8" t="s">
        <v>375</v>
      </c>
      <c r="F35" s="4" t="s">
        <v>376</v>
      </c>
    </row>
    <row r="36" customFormat="false" ht="30" hidden="false" customHeight="true" outlineLevel="0" collapsed="false">
      <c r="A36" s="3" t="s">
        <v>171</v>
      </c>
      <c r="B36" s="7" t="s">
        <v>168</v>
      </c>
      <c r="C36" s="4" t="s">
        <v>389</v>
      </c>
      <c r="D36" s="7" t="s">
        <v>354</v>
      </c>
      <c r="E36" s="8" t="s">
        <v>375</v>
      </c>
      <c r="F36" s="4" t="s">
        <v>376</v>
      </c>
    </row>
    <row r="37" customFormat="false" ht="30" hidden="false" customHeight="true" outlineLevel="0" collapsed="false">
      <c r="A37" s="3" t="s">
        <v>176</v>
      </c>
      <c r="B37" s="7" t="s">
        <v>173</v>
      </c>
      <c r="C37" s="4" t="s">
        <v>390</v>
      </c>
      <c r="D37" s="7" t="s">
        <v>354</v>
      </c>
      <c r="E37" s="8" t="s">
        <v>375</v>
      </c>
      <c r="F37" s="4" t="s">
        <v>376</v>
      </c>
    </row>
    <row r="38" customFormat="false" ht="30" hidden="false" customHeight="true" outlineLevel="0" collapsed="false">
      <c r="A38" s="3" t="s">
        <v>181</v>
      </c>
      <c r="B38" s="7" t="s">
        <v>179</v>
      </c>
      <c r="C38" s="4" t="s">
        <v>391</v>
      </c>
      <c r="D38" s="7" t="s">
        <v>354</v>
      </c>
      <c r="E38" s="8" t="s">
        <v>375</v>
      </c>
      <c r="F38" s="4" t="s">
        <v>376</v>
      </c>
    </row>
    <row r="39" customFormat="false" ht="30" hidden="false" customHeight="true" outlineLevel="0" collapsed="false">
      <c r="A39" s="3" t="s">
        <v>184</v>
      </c>
      <c r="B39" s="7" t="s">
        <v>106</v>
      </c>
      <c r="C39" s="4" t="s">
        <v>392</v>
      </c>
      <c r="D39" s="7" t="s">
        <v>354</v>
      </c>
      <c r="E39" s="8" t="s">
        <v>375</v>
      </c>
      <c r="F39" s="4" t="s">
        <v>376</v>
      </c>
    </row>
    <row r="40" customFormat="false" ht="30" hidden="false" customHeight="true" outlineLevel="0" collapsed="false">
      <c r="A40" s="3" t="s">
        <v>189</v>
      </c>
      <c r="B40" s="7" t="s">
        <v>186</v>
      </c>
      <c r="C40" s="4" t="s">
        <v>393</v>
      </c>
      <c r="D40" s="7" t="s">
        <v>354</v>
      </c>
      <c r="E40" s="8" t="s">
        <v>375</v>
      </c>
      <c r="F40" s="4" t="s">
        <v>376</v>
      </c>
    </row>
    <row r="41" customFormat="false" ht="30" hidden="false" customHeight="true" outlineLevel="0" collapsed="false">
      <c r="A41" s="3" t="s">
        <v>194</v>
      </c>
      <c r="B41" s="7" t="s">
        <v>191</v>
      </c>
      <c r="C41" s="4" t="s">
        <v>394</v>
      </c>
      <c r="D41" s="7" t="s">
        <v>354</v>
      </c>
      <c r="E41" s="8" t="s">
        <v>375</v>
      </c>
      <c r="F41" s="4" t="s">
        <v>376</v>
      </c>
    </row>
    <row r="42" customFormat="false" ht="30" hidden="false" customHeight="true" outlineLevel="0" collapsed="false">
      <c r="A42" s="3" t="s">
        <v>199</v>
      </c>
      <c r="B42" s="7" t="s">
        <v>196</v>
      </c>
      <c r="C42" s="4" t="s">
        <v>395</v>
      </c>
      <c r="D42" s="7" t="s">
        <v>354</v>
      </c>
      <c r="E42" s="8" t="s">
        <v>375</v>
      </c>
      <c r="F42" s="4" t="s">
        <v>376</v>
      </c>
    </row>
    <row r="43" customFormat="false" ht="30" hidden="false" customHeight="true" outlineLevel="0" collapsed="false">
      <c r="A43" s="3" t="s">
        <v>204</v>
      </c>
      <c r="B43" s="7" t="s">
        <v>201</v>
      </c>
      <c r="C43" s="4" t="s">
        <v>396</v>
      </c>
      <c r="D43" s="7" t="s">
        <v>354</v>
      </c>
      <c r="E43" s="8" t="s">
        <v>375</v>
      </c>
      <c r="F43" s="4" t="s">
        <v>376</v>
      </c>
    </row>
    <row r="44" customFormat="false" ht="30" hidden="false" customHeight="true" outlineLevel="0" collapsed="false">
      <c r="A44" s="3" t="s">
        <v>208</v>
      </c>
      <c r="B44" s="7" t="s">
        <v>206</v>
      </c>
      <c r="C44" s="4" t="s">
        <v>397</v>
      </c>
      <c r="D44" s="7" t="s">
        <v>354</v>
      </c>
      <c r="E44" s="8" t="s">
        <v>375</v>
      </c>
      <c r="F44" s="4" t="s">
        <v>376</v>
      </c>
    </row>
    <row r="45" customFormat="false" ht="30" hidden="false" customHeight="true" outlineLevel="0" collapsed="false">
      <c r="A45" s="3" t="s">
        <v>213</v>
      </c>
      <c r="B45" s="7" t="s">
        <v>210</v>
      </c>
      <c r="C45" s="4" t="s">
        <v>398</v>
      </c>
      <c r="D45" s="7" t="s">
        <v>354</v>
      </c>
      <c r="E45" s="8" t="s">
        <v>375</v>
      </c>
      <c r="F45" s="4" t="s">
        <v>376</v>
      </c>
    </row>
    <row r="46" customFormat="false" ht="30" hidden="false" customHeight="true" outlineLevel="0" collapsed="false">
      <c r="A46" s="3" t="s">
        <v>217</v>
      </c>
      <c r="B46" s="7" t="s">
        <v>215</v>
      </c>
      <c r="C46" s="4" t="s">
        <v>399</v>
      </c>
      <c r="D46" s="7" t="s">
        <v>354</v>
      </c>
      <c r="E46" s="8" t="s">
        <v>375</v>
      </c>
      <c r="F46" s="4" t="s">
        <v>376</v>
      </c>
    </row>
    <row r="47" customFormat="false" ht="30" hidden="false" customHeight="true" outlineLevel="0" collapsed="false">
      <c r="A47" s="3" t="s">
        <v>222</v>
      </c>
      <c r="B47" s="7" t="s">
        <v>219</v>
      </c>
      <c r="C47" s="4" t="s">
        <v>400</v>
      </c>
      <c r="D47" s="7" t="s">
        <v>354</v>
      </c>
      <c r="E47" s="8" t="s">
        <v>375</v>
      </c>
      <c r="F47" s="4" t="s">
        <v>376</v>
      </c>
    </row>
    <row r="48" customFormat="false" ht="30" hidden="false" customHeight="true" outlineLevel="0" collapsed="false">
      <c r="A48" s="3" t="s">
        <v>227</v>
      </c>
      <c r="B48" s="7" t="s">
        <v>225</v>
      </c>
      <c r="C48" s="4" t="s">
        <v>401</v>
      </c>
      <c r="D48" s="7" t="s">
        <v>354</v>
      </c>
      <c r="E48" s="8" t="s">
        <v>375</v>
      </c>
      <c r="F48" s="4" t="s">
        <v>376</v>
      </c>
    </row>
    <row r="49" customFormat="false" ht="30" hidden="false" customHeight="true" outlineLevel="0" collapsed="false">
      <c r="A49" s="3" t="s">
        <v>233</v>
      </c>
      <c r="B49" s="7" t="s">
        <v>229</v>
      </c>
      <c r="C49" s="4" t="s">
        <v>402</v>
      </c>
      <c r="D49" s="7" t="s">
        <v>354</v>
      </c>
      <c r="E49" s="9" t="s">
        <v>403</v>
      </c>
      <c r="F49" s="4" t="s">
        <v>404</v>
      </c>
    </row>
    <row r="50" customFormat="false" ht="30" hidden="false" customHeight="true" outlineLevel="0" collapsed="false">
      <c r="A50" s="3" t="s">
        <v>237</v>
      </c>
      <c r="B50" s="7" t="s">
        <v>235</v>
      </c>
      <c r="C50" s="4" t="s">
        <v>405</v>
      </c>
      <c r="D50" s="7" t="s">
        <v>354</v>
      </c>
      <c r="E50" s="9" t="s">
        <v>403</v>
      </c>
      <c r="F50" s="4" t="s">
        <v>404</v>
      </c>
    </row>
    <row r="51" customFormat="false" ht="30" hidden="false" customHeight="true" outlineLevel="0" collapsed="false">
      <c r="A51" s="3" t="s">
        <v>241</v>
      </c>
      <c r="B51" s="7" t="s">
        <v>239</v>
      </c>
      <c r="C51" s="4" t="s">
        <v>406</v>
      </c>
      <c r="D51" s="7" t="s">
        <v>354</v>
      </c>
      <c r="E51" s="8" t="s">
        <v>375</v>
      </c>
      <c r="F51" s="4" t="s">
        <v>376</v>
      </c>
    </row>
    <row r="52" customFormat="false" ht="30" hidden="false" customHeight="true" outlineLevel="0" collapsed="false">
      <c r="A52" s="3" t="s">
        <v>246</v>
      </c>
      <c r="B52" s="7" t="s">
        <v>244</v>
      </c>
      <c r="C52" s="4" t="s">
        <v>407</v>
      </c>
      <c r="D52" s="7" t="s">
        <v>354</v>
      </c>
      <c r="E52" s="8" t="s">
        <v>375</v>
      </c>
      <c r="F52" s="4" t="s">
        <v>376</v>
      </c>
    </row>
    <row r="53" customFormat="false" ht="30" hidden="false" customHeight="true" outlineLevel="0" collapsed="false">
      <c r="A53" s="3" t="s">
        <v>250</v>
      </c>
      <c r="B53" s="7" t="s">
        <v>248</v>
      </c>
      <c r="C53" s="4" t="s">
        <v>408</v>
      </c>
      <c r="D53" s="7" t="s">
        <v>354</v>
      </c>
      <c r="E53" s="8" t="s">
        <v>375</v>
      </c>
      <c r="F53" s="4" t="s">
        <v>376</v>
      </c>
    </row>
    <row r="54" customFormat="false" ht="30" hidden="false" customHeight="true" outlineLevel="0" collapsed="false">
      <c r="A54" s="3" t="s">
        <v>255</v>
      </c>
      <c r="B54" s="7" t="s">
        <v>252</v>
      </c>
      <c r="C54" s="4" t="s">
        <v>409</v>
      </c>
      <c r="D54" s="7" t="s">
        <v>354</v>
      </c>
      <c r="E54" s="8" t="s">
        <v>375</v>
      </c>
      <c r="F54" s="4" t="s">
        <v>376</v>
      </c>
    </row>
    <row r="55" customFormat="false" ht="30" hidden="false" customHeight="true" outlineLevel="0" collapsed="false">
      <c r="A55" s="3" t="s">
        <v>260</v>
      </c>
      <c r="B55" s="7" t="s">
        <v>257</v>
      </c>
      <c r="C55" s="4" t="s">
        <v>410</v>
      </c>
      <c r="D55" s="7" t="s">
        <v>354</v>
      </c>
      <c r="E55" s="8" t="s">
        <v>375</v>
      </c>
      <c r="F55" s="4" t="s">
        <v>376</v>
      </c>
    </row>
    <row r="56" customFormat="false" ht="30" hidden="false" customHeight="true" outlineLevel="0" collapsed="false">
      <c r="A56" s="3" t="s">
        <v>264</v>
      </c>
      <c r="B56" s="7" t="s">
        <v>262</v>
      </c>
      <c r="C56" s="4" t="s">
        <v>411</v>
      </c>
      <c r="D56" s="7" t="s">
        <v>354</v>
      </c>
      <c r="E56" s="9" t="s">
        <v>403</v>
      </c>
      <c r="F56" s="4" t="s">
        <v>404</v>
      </c>
    </row>
    <row r="57" customFormat="false" ht="30" hidden="false" customHeight="true" outlineLevel="0" collapsed="false">
      <c r="A57" s="3" t="s">
        <v>269</v>
      </c>
      <c r="B57" s="7" t="s">
        <v>266</v>
      </c>
      <c r="C57" s="4" t="s">
        <v>412</v>
      </c>
      <c r="D57" s="7" t="s">
        <v>354</v>
      </c>
      <c r="E57" s="9" t="s">
        <v>403</v>
      </c>
      <c r="F57" s="4" t="s">
        <v>404</v>
      </c>
    </row>
    <row r="58" customFormat="false" ht="30" hidden="false" customHeight="true" outlineLevel="0" collapsed="false">
      <c r="A58" s="3" t="s">
        <v>275</v>
      </c>
      <c r="B58" s="7" t="s">
        <v>271</v>
      </c>
      <c r="C58" s="4" t="s">
        <v>413</v>
      </c>
      <c r="D58" s="7" t="s">
        <v>414</v>
      </c>
      <c r="E58" s="8" t="s">
        <v>375</v>
      </c>
      <c r="F58" s="4" t="s">
        <v>376</v>
      </c>
    </row>
    <row r="59" customFormat="false" ht="30" hidden="false" customHeight="true" outlineLevel="0" collapsed="false">
      <c r="A59" s="3" t="s">
        <v>281</v>
      </c>
      <c r="B59" s="7" t="s">
        <v>278</v>
      </c>
      <c r="C59" s="4" t="s">
        <v>415</v>
      </c>
      <c r="D59" s="7" t="s">
        <v>414</v>
      </c>
      <c r="E59" s="9" t="s">
        <v>403</v>
      </c>
      <c r="F59" s="4" t="s">
        <v>404</v>
      </c>
    </row>
    <row r="60" customFormat="false" ht="30" hidden="false" customHeight="true" outlineLevel="0" collapsed="false">
      <c r="A60" s="3" t="s">
        <v>286</v>
      </c>
      <c r="B60" s="7" t="s">
        <v>283</v>
      </c>
      <c r="C60" s="4" t="s">
        <v>416</v>
      </c>
      <c r="D60" s="7" t="s">
        <v>414</v>
      </c>
      <c r="E60" s="8" t="s">
        <v>375</v>
      </c>
      <c r="F60" s="4" t="s">
        <v>376</v>
      </c>
    </row>
    <row r="61" customFormat="false" ht="30" hidden="false" customHeight="true" outlineLevel="0" collapsed="false">
      <c r="A61" s="3" t="s">
        <v>291</v>
      </c>
      <c r="B61" s="7" t="s">
        <v>288</v>
      </c>
      <c r="C61" s="4" t="s">
        <v>417</v>
      </c>
      <c r="D61" s="7" t="s">
        <v>414</v>
      </c>
      <c r="E61" s="6" t="s">
        <v>355</v>
      </c>
      <c r="F61" s="4" t="s">
        <v>356</v>
      </c>
    </row>
    <row r="62" customFormat="false" ht="30" hidden="false" customHeight="true" outlineLevel="0" collapsed="false">
      <c r="A62" s="3" t="s">
        <v>296</v>
      </c>
      <c r="B62" s="7" t="s">
        <v>293</v>
      </c>
      <c r="C62" s="4" t="s">
        <v>418</v>
      </c>
      <c r="D62" s="7" t="s">
        <v>414</v>
      </c>
      <c r="E62" s="9" t="s">
        <v>403</v>
      </c>
      <c r="F62" s="4" t="s">
        <v>404</v>
      </c>
    </row>
    <row r="63" customFormat="false" ht="30" hidden="false" customHeight="true" outlineLevel="0" collapsed="false">
      <c r="A63" s="3" t="s">
        <v>301</v>
      </c>
      <c r="B63" s="7" t="s">
        <v>298</v>
      </c>
      <c r="C63" s="4" t="s">
        <v>419</v>
      </c>
      <c r="D63" s="7" t="s">
        <v>414</v>
      </c>
      <c r="E63" s="6" t="s">
        <v>355</v>
      </c>
      <c r="F63" s="4" t="s">
        <v>356</v>
      </c>
    </row>
    <row r="64" customFormat="false" ht="30" hidden="false" customHeight="true" outlineLevel="0" collapsed="false">
      <c r="A64" s="3" t="s">
        <v>305</v>
      </c>
      <c r="B64" s="7" t="s">
        <v>303</v>
      </c>
      <c r="C64" s="4" t="s">
        <v>420</v>
      </c>
      <c r="D64" s="7" t="s">
        <v>414</v>
      </c>
      <c r="E64" s="6" t="s">
        <v>355</v>
      </c>
      <c r="F64" s="4" t="s">
        <v>356</v>
      </c>
    </row>
    <row r="65" customFormat="false" ht="30" hidden="false" customHeight="true" outlineLevel="0" collapsed="false">
      <c r="A65" s="3" t="s">
        <v>310</v>
      </c>
      <c r="B65" s="7" t="s">
        <v>307</v>
      </c>
      <c r="C65" s="4" t="s">
        <v>421</v>
      </c>
      <c r="D65" s="7" t="s">
        <v>414</v>
      </c>
      <c r="E65" s="6" t="s">
        <v>355</v>
      </c>
      <c r="F65" s="4" t="s">
        <v>356</v>
      </c>
    </row>
    <row r="66" customFormat="false" ht="14.25" hidden="false" customHeight="true" outlineLevel="0" collapsed="false">
      <c r="A66" s="3" t="s">
        <v>315</v>
      </c>
      <c r="B66" s="7" t="s">
        <v>312</v>
      </c>
      <c r="C66" s="4" t="s">
        <v>422</v>
      </c>
      <c r="D66" s="7" t="s">
        <v>414</v>
      </c>
      <c r="E66" s="6" t="s">
        <v>355</v>
      </c>
      <c r="F66" s="4" t="s">
        <v>356</v>
      </c>
    </row>
    <row r="67" customFormat="false" ht="14.25" hidden="false" customHeight="true" outlineLevel="0" collapsed="false">
      <c r="A67" s="3" t="s">
        <v>320</v>
      </c>
      <c r="B67" s="7" t="s">
        <v>318</v>
      </c>
      <c r="C67" s="4" t="s">
        <v>423</v>
      </c>
      <c r="D67" s="7" t="s">
        <v>414</v>
      </c>
      <c r="E67" s="6" t="s">
        <v>355</v>
      </c>
      <c r="F67" s="4" t="s">
        <v>356</v>
      </c>
    </row>
    <row r="68" customFormat="false" ht="14.25" hidden="false" customHeight="true" outlineLevel="0" collapsed="false">
      <c r="A68" s="3" t="s">
        <v>324</v>
      </c>
      <c r="B68" s="7" t="s">
        <v>322</v>
      </c>
      <c r="C68" s="4" t="s">
        <v>424</v>
      </c>
      <c r="D68" s="7" t="s">
        <v>414</v>
      </c>
      <c r="E68" s="6" t="s">
        <v>355</v>
      </c>
      <c r="F68" s="4" t="s">
        <v>356</v>
      </c>
    </row>
    <row r="69" customFormat="false" ht="18.75" hidden="false" customHeight="true" outlineLevel="0" collapsed="false">
      <c r="A69" s="3" t="s">
        <v>328</v>
      </c>
      <c r="B69" s="7" t="s">
        <v>326</v>
      </c>
      <c r="C69" s="4" t="s">
        <v>425</v>
      </c>
      <c r="D69" s="7" t="s">
        <v>414</v>
      </c>
      <c r="E69" s="6" t="s">
        <v>355</v>
      </c>
      <c r="F69" s="4" t="s">
        <v>356</v>
      </c>
    </row>
    <row r="70" customFormat="false" ht="14.25" hidden="false" customHeight="true" outlineLevel="0" collapsed="false">
      <c r="A70" s="3" t="s">
        <v>333</v>
      </c>
      <c r="B70" s="7" t="s">
        <v>331</v>
      </c>
      <c r="C70" s="4" t="s">
        <v>426</v>
      </c>
      <c r="D70" s="7" t="s">
        <v>414</v>
      </c>
      <c r="E70" s="6" t="s">
        <v>355</v>
      </c>
      <c r="F70" s="4" t="s">
        <v>356</v>
      </c>
    </row>
    <row r="71" customFormat="false" ht="14.25" hidden="false" customHeight="true" outlineLevel="0" collapsed="false">
      <c r="A71" s="3" t="s">
        <v>338</v>
      </c>
      <c r="B71" s="7" t="s">
        <v>336</v>
      </c>
      <c r="C71" s="4" t="s">
        <v>427</v>
      </c>
      <c r="D71" s="7" t="s">
        <v>414</v>
      </c>
      <c r="E71" s="6" t="s">
        <v>355</v>
      </c>
      <c r="F71" s="4" t="s">
        <v>356</v>
      </c>
    </row>
    <row r="72" customFormat="false" ht="14.25" hidden="false" customHeight="true" outlineLevel="0" collapsed="false">
      <c r="A72" s="3" t="s">
        <v>342</v>
      </c>
      <c r="B72" s="7" t="s">
        <v>340</v>
      </c>
      <c r="C72" s="4" t="s">
        <v>428</v>
      </c>
      <c r="D72" s="7" t="s">
        <v>414</v>
      </c>
      <c r="E72" s="6" t="s">
        <v>355</v>
      </c>
      <c r="F72" s="4" t="s">
        <v>356</v>
      </c>
    </row>
  </sheetData>
  <autoFilter ref="A4:F65"/>
  <mergeCells count="2">
    <mergeCell ref="A1:F1"/>
    <mergeCell ref="A2:F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2"/>
    <col collapsed="false" customWidth="true" hidden="false" outlineLevel="0" max="4" min="4" style="1" width="60"/>
  </cols>
  <sheetData>
    <row r="1" customFormat="false" ht="25.5" hidden="false" customHeight="true" outlineLevel="0" collapsed="false">
      <c r="A1" s="11" t="s">
        <v>429</v>
      </c>
      <c r="B1" s="11"/>
      <c r="C1" s="11"/>
      <c r="D1" s="11"/>
    </row>
    <row r="2" customFormat="false" ht="18" hidden="false" customHeight="true" outlineLevel="0" collapsed="false">
      <c r="A2" s="12" t="s">
        <v>430</v>
      </c>
      <c r="B2" s="12"/>
      <c r="C2" s="12"/>
      <c r="D2" s="12"/>
    </row>
    <row r="4" customFormat="false" ht="15" hidden="false" customHeight="true" outlineLevel="0" collapsed="false">
      <c r="A4" s="14" t="s">
        <v>431</v>
      </c>
    </row>
    <row r="5" customFormat="false" ht="33.75" hidden="false" customHeight="true" outlineLevel="0" collapsed="false">
      <c r="A5" s="13" t="s">
        <v>432</v>
      </c>
      <c r="B5" s="13" t="s">
        <v>433</v>
      </c>
      <c r="C5" s="13" t="s">
        <v>434</v>
      </c>
      <c r="D5" s="13" t="s">
        <v>435</v>
      </c>
    </row>
    <row r="6" customFormat="false" ht="14.25" hidden="false" customHeight="true" outlineLevel="0" collapsed="false">
      <c r="A6" s="15" t="s">
        <v>12</v>
      </c>
      <c r="B6" s="16" t="n">
        <f aca="false">COUNTIF(RTM!E2:E69,A6)</f>
        <v>35</v>
      </c>
      <c r="C6" s="17" t="n">
        <f aca="false">B6/$B$9</f>
        <v>0.514705882352941</v>
      </c>
      <c r="D6" s="18" t="s">
        <v>436</v>
      </c>
    </row>
    <row r="7" customFormat="false" ht="14.25" hidden="false" customHeight="true" outlineLevel="0" collapsed="false">
      <c r="A7" s="19" t="s">
        <v>107</v>
      </c>
      <c r="B7" s="16" t="n">
        <f aca="false">COUNTIF(RTM!E2:E69,A7)</f>
        <v>27</v>
      </c>
      <c r="C7" s="17" t="n">
        <f aca="false">B7/$B$9</f>
        <v>0.397058823529412</v>
      </c>
      <c r="D7" s="18" t="s">
        <v>437</v>
      </c>
    </row>
    <row r="8" customFormat="false" ht="14.25" hidden="false" customHeight="true" outlineLevel="0" collapsed="false">
      <c r="A8" s="20" t="s">
        <v>232</v>
      </c>
      <c r="B8" s="16" t="n">
        <f aca="false">COUNTIF(RTM!E2:E69,A8)</f>
        <v>6</v>
      </c>
      <c r="C8" s="17" t="n">
        <f aca="false">B8/$B$9</f>
        <v>0.0882352941176471</v>
      </c>
      <c r="D8" s="18" t="s">
        <v>438</v>
      </c>
    </row>
    <row r="9" customFormat="false" ht="14.25" hidden="false" customHeight="true" outlineLevel="0" collapsed="false">
      <c r="A9" s="21" t="s">
        <v>439</v>
      </c>
      <c r="B9" s="21" t="n">
        <f aca="false">COUNTA(RTM!A2:A69)</f>
        <v>68</v>
      </c>
      <c r="C9" s="22" t="n">
        <f aca="false">B9/$B$9</f>
        <v>1</v>
      </c>
      <c r="D9" s="23"/>
    </row>
    <row r="11" customFormat="false" ht="15" hidden="false" customHeight="true" outlineLevel="0" collapsed="false">
      <c r="A11" s="14" t="s">
        <v>440</v>
      </c>
    </row>
    <row r="12" customFormat="false" ht="33.75" hidden="false" customHeight="true" outlineLevel="0" collapsed="false">
      <c r="A12" s="13" t="s">
        <v>441</v>
      </c>
      <c r="B12" s="13" t="s">
        <v>442</v>
      </c>
      <c r="C12" s="13" t="s">
        <v>443</v>
      </c>
      <c r="D12" s="13" t="s">
        <v>444</v>
      </c>
    </row>
    <row r="13" customFormat="false" ht="14.25" hidden="false" customHeight="true" outlineLevel="0" collapsed="false">
      <c r="A13" s="18" t="s">
        <v>15</v>
      </c>
      <c r="B13" s="16" t="n">
        <f aca="false">COUNTIF(RTM!H2:H69,A13)</f>
        <v>13</v>
      </c>
      <c r="C13" s="16" t="n">
        <f aca="false">COUNTIFS(RTM!H2:H69,A13,RTM!E2:E69,"Approved")</f>
        <v>13</v>
      </c>
      <c r="D13" s="16" t="n">
        <f aca="false">B13-C13</f>
        <v>0</v>
      </c>
    </row>
    <row r="14" customFormat="false" ht="14.25" hidden="false" customHeight="true" outlineLevel="0" collapsed="false">
      <c r="A14" s="18" t="s">
        <v>82</v>
      </c>
      <c r="B14" s="16" t="n">
        <f aca="false">COUNTIF(RTM!H2:H69,A14)</f>
        <v>6</v>
      </c>
      <c r="C14" s="16" t="n">
        <f aca="false">COUNTIFS(RTM!H2:H69,A14,RTM!E2:E69,"Approved")</f>
        <v>5</v>
      </c>
      <c r="D14" s="16" t="n">
        <f aca="false">B14-C14</f>
        <v>1</v>
      </c>
    </row>
    <row r="15" customFormat="false" ht="14.25" hidden="false" customHeight="true" outlineLevel="0" collapsed="false">
      <c r="A15" s="18" t="s">
        <v>114</v>
      </c>
      <c r="B15" s="16" t="n">
        <f aca="false">COUNTIF(RTM!H2:H69,A15)</f>
        <v>6</v>
      </c>
      <c r="C15" s="16" t="n">
        <f aca="false">COUNTIFS(RTM!H2:H69,A15,RTM!E2:E69,"Approved")</f>
        <v>6</v>
      </c>
      <c r="D15" s="16" t="n">
        <f aca="false">B15-C15</f>
        <v>0</v>
      </c>
    </row>
    <row r="16" customFormat="false" ht="14.25" hidden="false" customHeight="true" outlineLevel="0" collapsed="false">
      <c r="A16" s="18" t="s">
        <v>143</v>
      </c>
      <c r="B16" s="16" t="n">
        <f aca="false">COUNTIF(RTM!H2:H69,A16)</f>
        <v>7</v>
      </c>
      <c r="C16" s="16" t="n">
        <f aca="false">COUNTIFS(RTM!H2:H69,A16,RTM!E2:E69,"Approved")</f>
        <v>0</v>
      </c>
      <c r="D16" s="16" t="n">
        <f aca="false">B16-C16</f>
        <v>7</v>
      </c>
    </row>
    <row r="17" customFormat="false" ht="14.25" hidden="false" customHeight="true" outlineLevel="0" collapsed="false">
      <c r="A17" s="18" t="s">
        <v>178</v>
      </c>
      <c r="B17" s="16" t="n">
        <f aca="false">COUNTIF(RTM!H2:H69,A17)</f>
        <v>10</v>
      </c>
      <c r="C17" s="16" t="n">
        <f aca="false">COUNTIFS(RTM!H2:H69,A17,RTM!E2:E69,"Approved")</f>
        <v>0</v>
      </c>
      <c r="D17" s="16" t="n">
        <f aca="false">B17-C17</f>
        <v>10</v>
      </c>
    </row>
    <row r="18" customFormat="false" ht="14.25" hidden="false" customHeight="true" outlineLevel="0" collapsed="false">
      <c r="A18" s="18" t="s">
        <v>224</v>
      </c>
      <c r="B18" s="16" t="n">
        <f aca="false">COUNTIF(RTM!H2:H69,A18)</f>
        <v>4</v>
      </c>
      <c r="C18" s="16" t="n">
        <f aca="false">COUNTIFS(RTM!H2:H69,A18,RTM!E2:E69,"Approved")</f>
        <v>0</v>
      </c>
      <c r="D18" s="16" t="n">
        <f aca="false">B18-C18</f>
        <v>4</v>
      </c>
    </row>
    <row r="19" customFormat="false" ht="14.25" hidden="false" customHeight="true" outlineLevel="0" collapsed="false">
      <c r="A19" s="18" t="s">
        <v>243</v>
      </c>
      <c r="B19" s="16" t="n">
        <f aca="false">COUNTIF(RTM!H2:H69,A19)</f>
        <v>7</v>
      </c>
      <c r="C19" s="16" t="n">
        <f aca="false">COUNTIFS(RTM!H2:H69,A19,RTM!E2:E69,"Approved")</f>
        <v>0</v>
      </c>
      <c r="D19" s="16" t="n">
        <f aca="false">B19-C19</f>
        <v>7</v>
      </c>
    </row>
    <row r="20" customFormat="false" ht="14.25" hidden="false" customHeight="true" outlineLevel="0" collapsed="false">
      <c r="A20" s="18" t="s">
        <v>277</v>
      </c>
      <c r="B20" s="16" t="n">
        <f aca="false">COUNTIF(RTM!H2:H69,A20)</f>
        <v>8</v>
      </c>
      <c r="C20" s="16" t="n">
        <f aca="false">COUNTIFS(RTM!H2:H69,A20,RTM!E2:E69,"Approved")</f>
        <v>4</v>
      </c>
      <c r="D20" s="16" t="n">
        <f aca="false">B20-C20</f>
        <v>4</v>
      </c>
    </row>
    <row r="21" customFormat="false" ht="14.25" hidden="false" customHeight="true" outlineLevel="0" collapsed="false">
      <c r="A21" s="18" t="s">
        <v>317</v>
      </c>
      <c r="B21" s="16" t="n">
        <f aca="false">COUNTIF(RTM!H2:H69,A21)</f>
        <v>3</v>
      </c>
      <c r="C21" s="16" t="n">
        <f aca="false">COUNTIFS(RTM!H2:H69,A21,RTM!E2:E69,"Approved")</f>
        <v>3</v>
      </c>
      <c r="D21" s="16" t="n">
        <f aca="false">B21-C21</f>
        <v>0</v>
      </c>
    </row>
    <row r="22" customFormat="false" ht="14.25" hidden="false" customHeight="true" outlineLevel="0" collapsed="false">
      <c r="A22" s="18" t="s">
        <v>330</v>
      </c>
      <c r="B22" s="16" t="n">
        <f aca="false">COUNTIF(RTM!H2:H69,A22)</f>
        <v>1</v>
      </c>
      <c r="C22" s="16" t="n">
        <f aca="false">COUNTIFS(RTM!H2:H69,A22,RTM!E2:E69,"Approved")</f>
        <v>1</v>
      </c>
      <c r="D22" s="16" t="n">
        <f aca="false">B22-C22</f>
        <v>0</v>
      </c>
    </row>
    <row r="23" customFormat="false" ht="15" hidden="false" customHeight="true" outlineLevel="0" collapsed="false">
      <c r="A23" s="18" t="s">
        <v>335</v>
      </c>
      <c r="B23" s="16" t="n">
        <f aca="false">COUNTIF(RTM!H2:H69,A23)</f>
        <v>3</v>
      </c>
      <c r="C23" s="16" t="n">
        <f aca="false">COUNTIFS(RTM!H2:H69,A23,RTM!E2:E69,"Approved")</f>
        <v>3</v>
      </c>
      <c r="D23" s="16" t="n">
        <f aca="false">B23-C23</f>
        <v>0</v>
      </c>
    </row>
    <row r="24" customFormat="false" ht="33.75" hidden="false" customHeight="true" outlineLevel="0" collapsed="false">
      <c r="A24" s="24" t="s">
        <v>445</v>
      </c>
      <c r="B24" s="21" t="n">
        <f aca="false">SUM(B13:B23)</f>
        <v>68</v>
      </c>
      <c r="C24" s="21" t="n">
        <f aca="false">SUM(C13:C23)</f>
        <v>35</v>
      </c>
      <c r="D24" s="21" t="n">
        <f aca="false">SUM(D13:D23)</f>
        <v>33</v>
      </c>
    </row>
    <row r="25" customFormat="false" ht="14.25" hidden="false" customHeight="true" outlineLevel="0" collapsed="false"/>
    <row r="26" customFormat="false" ht="14.25" hidden="false" customHeight="true" outlineLevel="0" collapsed="false">
      <c r="A26" s="14" t="s">
        <v>446</v>
      </c>
    </row>
    <row r="27" customFormat="false" ht="14.25" hidden="false" customHeight="true" outlineLevel="0" collapsed="false">
      <c r="A27" s="13" t="s">
        <v>447</v>
      </c>
      <c r="B27" s="13" t="s">
        <v>448</v>
      </c>
      <c r="C27" s="13" t="s">
        <v>449</v>
      </c>
      <c r="D27" s="13" t="s">
        <v>450</v>
      </c>
    </row>
    <row r="28" customFormat="false" ht="14.25" hidden="false" customHeight="true" outlineLevel="0" collapsed="false">
      <c r="A28" s="18" t="s">
        <v>451</v>
      </c>
      <c r="B28" s="25" t="n">
        <f aca="false">COUNTA(RTM!F2:F69)/COUNTA(RTM!A2:A69)</f>
        <v>1</v>
      </c>
      <c r="C28" s="16" t="s">
        <v>452</v>
      </c>
      <c r="D28" s="16" t="str">
        <f aca="false">IF(B28&gt;=0.9,"ผ่านเกณฑ์","ต้องดำเนินการต่อ")</f>
        <v>ผ่านเกณฑ์</v>
      </c>
    </row>
    <row r="29" customFormat="false" ht="11.25" hidden="false" customHeight="true" outlineLevel="0" collapsed="false">
      <c r="A29" s="18" t="s">
        <v>453</v>
      </c>
      <c r="B29" s="25" t="n">
        <f aca="false">COUNTA(RTM!C2:C69)/COUNTA(RTM!A2:A69)</f>
        <v>1</v>
      </c>
      <c r="C29" s="16" t="s">
        <v>452</v>
      </c>
      <c r="D29" s="16" t="str">
        <f aca="false">IF(B29&gt;=0.9,"ผ่านเกณฑ์","ต้องดำเนินการต่อ")</f>
        <v>ผ่านเกณฑ์</v>
      </c>
    </row>
    <row r="30" customFormat="false" ht="14.25" hidden="false" customHeight="true" outlineLevel="0" collapsed="false">
      <c r="A30" s="18" t="s">
        <v>454</v>
      </c>
      <c r="B30" s="25" t="n">
        <f aca="false">COUNTIF(RTM!E2:E69,"Approved")/COUNTA(RTM!A2:A69)</f>
        <v>0.514705882352941</v>
      </c>
      <c r="C30" s="16" t="s">
        <v>455</v>
      </c>
      <c r="D30" s="16" t="str">
        <f aca="false">IF(B30&gt;=0.9,"ผ่านเกณฑ์","ต้องดำเนินการต่อ")</f>
        <v>ต้องดำเนินการต่อ</v>
      </c>
    </row>
    <row r="32" customFormat="false" ht="14.25" hidden="false" customHeight="true" outlineLevel="0" collapsed="false">
      <c r="A32" s="26" t="s">
        <v>456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4"/>
    <col collapsed="false" customWidth="true" hidden="false" outlineLevel="0" max="3" min="3" style="1" width="40"/>
  </cols>
  <sheetData>
    <row r="1" customFormat="false" ht="25.5" hidden="false" customHeight="true" outlineLevel="0" collapsed="false">
      <c r="A1" s="11" t="s">
        <v>457</v>
      </c>
      <c r="B1" s="11"/>
      <c r="C1" s="11"/>
    </row>
    <row r="4" customFormat="false" ht="33.75" hidden="false" customHeight="true" outlineLevel="0" collapsed="false">
      <c r="A4" s="13" t="s">
        <v>458</v>
      </c>
      <c r="B4" s="13" t="s">
        <v>435</v>
      </c>
      <c r="C4" s="13" t="s">
        <v>459</v>
      </c>
    </row>
    <row r="5" customFormat="false" ht="39.75" hidden="false" customHeight="true" outlineLevel="0" collapsed="false">
      <c r="A5" s="27" t="s">
        <v>0</v>
      </c>
      <c r="B5" s="28" t="s">
        <v>460</v>
      </c>
      <c r="C5" s="29" t="s">
        <v>173</v>
      </c>
    </row>
    <row r="6" customFormat="false" ht="39.75" hidden="false" customHeight="true" outlineLevel="0" collapsed="false">
      <c r="A6" s="27" t="s">
        <v>1</v>
      </c>
      <c r="B6" s="28" t="s">
        <v>461</v>
      </c>
      <c r="C6" s="29" t="s">
        <v>174</v>
      </c>
    </row>
    <row r="7" customFormat="false" ht="39.75" hidden="false" customHeight="true" outlineLevel="0" collapsed="false">
      <c r="A7" s="27" t="s">
        <v>2</v>
      </c>
      <c r="B7" s="28" t="s">
        <v>462</v>
      </c>
      <c r="C7" s="29" t="s">
        <v>105</v>
      </c>
    </row>
    <row r="8" customFormat="false" ht="39.75" hidden="false" customHeight="true" outlineLevel="0" collapsed="false">
      <c r="A8" s="27" t="s">
        <v>463</v>
      </c>
      <c r="B8" s="28" t="s">
        <v>464</v>
      </c>
      <c r="C8" s="29" t="s">
        <v>106</v>
      </c>
    </row>
    <row r="9" customFormat="false" ht="39.75" hidden="false" customHeight="true" outlineLevel="0" collapsed="false">
      <c r="A9" s="27" t="s">
        <v>4</v>
      </c>
      <c r="B9" s="28" t="s">
        <v>465</v>
      </c>
      <c r="C9" s="29" t="s">
        <v>107</v>
      </c>
    </row>
    <row r="10" customFormat="false" ht="39.75" hidden="false" customHeight="true" outlineLevel="0" collapsed="false">
      <c r="A10" s="27" t="s">
        <v>466</v>
      </c>
      <c r="B10" s="28" t="s">
        <v>467</v>
      </c>
      <c r="C10" s="29" t="s">
        <v>176</v>
      </c>
    </row>
    <row r="11" customFormat="false" ht="39.75" hidden="false" customHeight="true" outlineLevel="0" collapsed="false">
      <c r="A11" s="27" t="s">
        <v>6</v>
      </c>
      <c r="B11" s="28" t="s">
        <v>468</v>
      </c>
      <c r="C11" s="29" t="s">
        <v>177</v>
      </c>
    </row>
    <row r="12" customFormat="false" ht="39.75" hidden="false" customHeight="true" outlineLevel="0" collapsed="false">
      <c r="A12" s="27" t="s">
        <v>7</v>
      </c>
      <c r="B12" s="28" t="s">
        <v>469</v>
      </c>
      <c r="C12" s="29" t="s">
        <v>178</v>
      </c>
    </row>
    <row r="14" customFormat="false" ht="15" hidden="false" customHeight="true" outlineLevel="0" collapsed="false">
      <c r="A14" s="14" t="s">
        <v>470</v>
      </c>
    </row>
    <row r="15" customFormat="false" ht="14.25" hidden="false" customHeight="true" outlineLevel="0" collapsed="false">
      <c r="A15" s="30" t="s">
        <v>471</v>
      </c>
      <c r="B15" s="30"/>
      <c r="C15" s="30"/>
    </row>
    <row r="16" customFormat="false" ht="12" hidden="false" customHeight="true" outlineLevel="0" collapsed="false">
      <c r="A16" s="30" t="s">
        <v>472</v>
      </c>
      <c r="B16" s="30"/>
      <c r="C16" s="30"/>
    </row>
    <row r="17" customFormat="false" ht="12" hidden="false" customHeight="true" outlineLevel="0" collapsed="false">
      <c r="A17" s="30" t="s">
        <v>473</v>
      </c>
      <c r="B17" s="30"/>
      <c r="C17" s="30"/>
    </row>
    <row r="18" customFormat="false" ht="12" hidden="false" customHeight="true" outlineLevel="0" collapsed="false">
      <c r="A18" s="30" t="s">
        <v>474</v>
      </c>
      <c r="B18" s="30"/>
      <c r="C18" s="30"/>
    </row>
  </sheetData>
  <mergeCells count="5">
    <mergeCell ref="A1:C1"/>
    <mergeCell ref="A15:C15"/>
    <mergeCell ref="A16:C16"/>
    <mergeCell ref="A17:C17"/>
    <mergeCell ref="A18:C18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2026-09-01T14:11:52Z</dcterms:created>
  <dc:creator>openpyxl</dc:creator>
  <dc:description/>
  <dc:language>en-US</dc:language>
  <cp:lastModifiedBy>Momeow Kung</cp:lastModifiedBy>
  <dcterms:modified xsi:type="dcterms:W3CDTF">2026-09-03T14:38:30Z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